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2dec4af22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ulement Ressources à Vue" sheetId="1" r:id="Re4e4d258ecc54ac7"/>
    <x:sheet xmlns:r="http://schemas.openxmlformats.org/officeDocument/2006/relationships" name="Tous détail Stocks" sheetId="2" r:id="R27d0951fcf984ad3"/>
    <x:sheet xmlns:r="http://schemas.openxmlformats.org/officeDocument/2006/relationships" name="Audit des calculs" sheetId="3" r:id="R481d2cf41fed4340"/>
  </x:sheets>
</x:workbook>
</file>

<file path=xl/sharedStrings.xml><?xml version="1.0" encoding="utf-8"?>
<x:sst xmlns:x="http://schemas.openxmlformats.org/spreadsheetml/2006/main">
  <x:si>
    <x:t xml:space="preserve">ECOULEMENT DES DEPOTS A VUE</x:t>
  </x:si>
  <x:si>
    <x:t xml:space="preserve">NIVEAU DE RESSOURCES A VUE FUTURE</x:t>
  </x:si>
  <x:si>
    <x:t xml:space="preserve">Horizon (mois)</x:t>
  </x:si>
  <x:si>
    <x:t xml:space="preserve">Date</x:t>
  </x:si>
  <x:si>
    <x:t xml:space="preserve">Encours</x:t>
  </x:si>
  <x:si>
    <x:t xml:space="preserve">Partie stable pour 1FCFA</x:t>
  </x:si>
  <x:si>
    <x:t xml:space="preserve">Ecoulement du stock</x:t>
  </x:si>
  <x:si>
    <x:t xml:space="preserve">Partie stable encours</x:t>
  </x:si>
  <x:si>
    <x:t xml:space="preserve">Partie volatile encours</x:t>
  </x:si>
  <x:si>
    <x:t xml:space="preserve">Partie stable encours ressources</x:t>
  </x:si>
  <x:si>
    <x:t xml:space="preserve">Prévision production nouvelle</x:t>
  </x:si>
  <x:si>
    <x:t xml:space="preserve">Projections de ressources</x:t>
  </x:si>
  <x:si>
    <x:t xml:space="preserve">ECOULEMENT DU COMPTE 371E</x:t>
  </x:si>
  <x:si>
    <x:t xml:space="preserve">ECOULEMENT DU COMPTE 371P</x:t>
  </x:si>
  <x:si>
    <x:t xml:space="preserve">ECOULEMENT DU COMPTE 372E</x:t>
  </x:si>
  <x:si>
    <x:t xml:space="preserve">ECOULEMENT DU COMPTE 372P</x:t>
  </x:si>
  <x:si>
    <x:t xml:space="preserve">ECOULEMENT DU COMPTE 373E</x:t>
  </x:si>
  <x:si>
    <x:t xml:space="preserve">ECOULEMENT DU COMPTE 373P</x:t>
  </x:si>
  <x:si>
    <x:t xml:space="preserve">Modèle ARIMA(0,1,2) avec drift</x:t>
  </x:si>
  <x:si>
    <x:t xml:space="preserve">Δln(371Eₜ) = 0,012811 + εₜ − 0,379281εₜ₋₁ − 0,206507εₜ₋₂</x:t>
  </x:si>
  <x:si>
    <x:t xml:space="preserve">μ + Umin</x:t>
  </x:si>
  <x:si>
    <x:t xml:space="preserve">SARIMA(1,1,1)(1,0,0)₁₂ </x:t>
  </x:si>
  <x:si>
    <x:t xml:space="preserve">Δxₜ = 0,575464Δxₜ₋₁ + 0,336695Δxₜ₋₁₂ - 0,193756Δxₜ₋₁₃ + εₜ - 0,963225εₜ₋₁ ; xₜ = ln(371Pₜ/10⁹)</x:t>
  </x:si>
  <x:si>
    <x:t xml:space="preserve">ARIMA(1,1,1) + drift</x:t>
  </x:si>
  <x:si>
    <x:t xml:space="preserve">Δxₜ = 0,01217265 + 0,2725285Δxₜ₋₁ + εₜ - εₜ₋₁ ; xₜ = ln(372Eₜ/10⁹)</x:t>
  </x:si>
  <x:si>
    <x:t xml:space="preserve">ARIMA(2,1,3)
avec drift c = 0,012679</x:t>
  </x:si>
  <x:si>
    <x:t xml:space="preserve">Δln(372Pₜ) = μ − 0,622981Δln(372Pₜ₋₁) − 0,849242Δln(372Pₜ₋₂) + εₜ + 0,108604εₜ₋₁ + 0,544035εₜ₋₂ − 0,594555εₜ₋₃</x:t>
  </x:si>
  <x:si>
    <x:t xml:space="preserve">μ</x:t>
  </x:si>
  <x:si>
    <x:t xml:space="preserve">Tendance +
SARIMA résiduel</x:t>
  </x:si>
  <x:si>
    <x:t xml:space="preserve">ln(373Eₜ) = 23,879664 + 0,003074t + uₜ ; uₜ = 0,889810uₜ₋₁ + 0,990792uₜ₋₁₂ − 0,881617uₜ₋₁₃ + εₜ − 0,744315εₜ₋₁₂ ; Δln(373Eₜ) = 0,003074 + Uₜ ; Uₜ = uₜ − uₜ₋₁</x:t>
  </x:si>
  <x:si>
    <x:t xml:space="preserve"> </x:t>
  </x:si>
  <x:si>
    <x:t xml:space="preserve">Δln(373Pₜ) = μ + 0,944937Δln(373Pₜ₋₁₂) + εₜ − 0,677846εₜ₋₁₂</x:t>
  </x:si>
  <x:si>
    <x:t xml:space="preserve">Paramètres</x:t>
  </x:si>
  <x:si>
    <x:t xml:space="preserve">θ1</x:t>
  </x:si>
  <x:si>
    <x:t xml:space="preserve">θ2</x:t>
  </x:si>
  <x:si>
    <x:t xml:space="preserve">φ1</x:t>
  </x:si>
  <x:si>
    <x:t xml:space="preserve">Φ12</x:t>
  </x:si>
  <x:si>
    <x:t xml:space="preserve">φ13</x:t>
  </x:si>
  <x:si>
    <x:t xml:space="preserve">μ / drift</x:t>
  </x:si>
  <x:si>
    <x:t xml:space="preserve">AR(1)</x:t>
  </x:si>
  <x:si>
    <x:t xml:space="preserve">MA(1)</x:t>
  </x:si>
  <x:si>
    <x:t xml:space="preserve">φ2</x:t>
  </x:si>
  <x:si>
    <x:t xml:space="preserve">θ3</x:t>
  </x:si>
  <x:si>
    <x:t xml:space="preserve">Θ12</x:t>
  </x:si>
  <x:si>
    <x:t xml:space="preserve">Umin</x:t>
  </x:si>
  <x:si>
    <x:t xml:space="preserve">371E</x:t>
  </x:si>
  <x:si>
    <x:t xml:space="preserve">ln(371E)</x:t>
  </x:si>
  <x:si>
    <x:t xml:space="preserve">Δln(371E)</x:t>
  </x:si>
  <x:si>
    <x:t xml:space="preserve">εₜ</x:t>
  </x:si>
  <x:si>
    <x:t xml:space="preserve">Uₜ</x:t>
  </x:si>
  <x:si>
    <x:t xml:space="preserve">371P</x:t>
  </x:si>
  <x:si>
    <x:t xml:space="preserve">xₜ = ln(371P/10⁹)</x:t>
  </x:si>
  <x:si>
    <x:t xml:space="preserve">Δxₜ</x:t>
  </x:si>
  <x:si>
    <x:t xml:space="preserve">Contrôle</x:t>
  </x:si>
  <x:si>
    <x:t xml:space="preserve">372E</x:t>
  </x:si>
  <x:si>
    <x:t xml:space="preserve">xₜ = ln(372E/10⁹)</x:t>
  </x:si>
  <x:si>
    <x:t xml:space="preserve">Uₜ = Δxₜ - μ</x:t>
  </x:si>
  <x:si>
    <x:t xml:space="preserve">Contrôle modèle</x:t>
  </x:si>
  <x:si>
    <x:t xml:space="preserve">372P</x:t>
  </x:si>
  <x:si>
    <x:t xml:space="preserve">ln(372P)</x:t>
  </x:si>
  <x:si>
    <x:t xml:space="preserve">Δln(372P)</x:t>
  </x:si>
  <x:si>
    <x:t xml:space="preserve">373E</x:t>
  </x:si>
  <x:si>
    <x:t xml:space="preserve">ln(373E)</x:t>
  </x:si>
  <x:si>
    <x:t xml:space="preserve">Δln(373E)</x:t>
  </x:si>
  <x:si>
    <x:t xml:space="preserve">uₜ résiduel</x:t>
  </x:si>
  <x:si>
    <x:t xml:space="preserve">373P</x:t>
  </x:si>
  <x:si>
    <x:t xml:space="preserve">ln(373P)</x:t>
  </x:si>
  <x:si>
    <x:t xml:space="preserve">Δln(373P)</x:t>
  </x:si>
  <x:si>
    <x:t xml:space="preserve">AUDIT COMPLET DES CALCULS D'ÉCOULEMENT — 6 COMPTES</x:t>
  </x:si>
  <x:si>
    <x:t xml:space="preserve">Compte</x:t>
  </x:si>
  <x:si>
    <x:t xml:space="preserve">Modèle</x:t>
  </x:si>
  <x:si>
    <x:t xml:space="preserve">Stable H1</x:t>
  </x:si>
  <x:si>
    <x:t xml:space="preserve">Stable H6</x:t>
  </x:si>
  <x:si>
    <x:t xml:space="preserve">Stable H12</x:t>
  </x:si>
  <x:si>
    <x:t xml:space="preserve">Erreur identité U</x:t>
  </x:si>
  <x:si>
    <x:t xml:space="preserve">Erreur équation</x:t>
  </x:si>
  <x:si>
    <x:t xml:space="preserve">Oct-2022</x:t>
  </x:si>
  <x:si>
    <x:t xml:space="preserve">Statut</x:t>
  </x:si>
  <x:si>
    <x:t xml:space="preserve">ARIMA(0,1,2) avec drift</x:t>
  </x:si>
  <x:si>
    <x:t xml:space="preserve">OK</x:t>
  </x:si>
  <x:si>
    <x:t xml:space="preserve">SARIMA(1,1,1)(1,0,0)12 — modèle 13</x:t>
  </x:si>
  <x:si>
    <x:t xml:space="preserve">ARIMA(2,1,3) avec drift centré</x:t>
  </x:si>
  <x:si>
    <x:t xml:space="preserve">Tendance + SARIMA résiduel</x:t>
  </x:si>
  <x:si>
    <x:t xml:space="preserve">SARIMA(0,1,0)(1,0,1)12 avec drift</x:t>
  </x:si>
  <x:si>
    <x:t xml:space="preserve">Contrôle agrégé</x:t>
  </x:si>
  <x:si>
    <x:t xml:space="preserve">Valeur indépendante</x:t>
  </x:si>
  <x:si>
    <x:t xml:space="preserve">Valeur Excel</x:t>
  </x:si>
  <x:si>
    <x:t xml:space="preserve">Écart</x:t>
  </x:si>
  <x:si>
    <x:t xml:space="preserve">Tolérance</x:t>
  </x:si>
  <x:si>
    <x:t xml:space="preserve">Encours total initial</x:t>
  </x:si>
  <x:si>
    <x:t xml:space="preserve">Partie stable agrégée H1</x:t>
  </x:si>
  <x:si>
    <x:t xml:space="preserve">Partie stable agrégée H12</x:t>
  </x:si>
  <x:si>
    <x:t xml:space="preserve">Mapping production : Jul-2026 = H7</x:t>
  </x:si>
  <x:si>
    <x:t xml:space="preserve">Correction Oct-2022 sur les 6 comptes</x:t>
  </x:si>
  <x:si>
    <x:t xml:space="preserve">371P — modèle 13 : SARIMA(1,1,1)(1,0,0)12. La série est différenciée une fois (d=1, D=0). Uₜ = 0,575464Δxₜ₋₁ + 0,336695Δxₜ₋₁₂ - 0,193756Δxₜ₋₁₃ + εₜ - 0,963225εₜ₋₁ ; μ=0. La fonction d'écoulement utilisée est S(H)=exp[H·Umin].</x:t>
  </x:si>
</x:sst>
</file>

<file path=xl/styles.xml><?xml version="1.0" encoding="utf-8"?>
<x:styleSheet xmlns:x="http://schemas.openxmlformats.org/spreadsheetml/2006/main">
  <x:numFmts count="5">
    <x:numFmt numFmtId="164" formatCode="#,##0;[Red]\-#,##0;\-"/>
    <x:numFmt numFmtId="165" formatCode="0.000000"/>
    <x:numFmt numFmtId="166" formatCode="yyyy\-mm\-dd"/>
    <x:numFmt numFmtId="167" formatCode="0.000000000;[Red]\-0.000000000;\-"/>
    <x:numFmt numFmtId="170" formatCode="0.000000000_ ;[Red]\-0.000000000\ "/>
  </x:numFmts>
  <x:fonts count="19">
    <x:font>
      <x:sz val="11"/>
      <x:name val="Carlito"/>
    </x:font>
    <x:font>
      <x:b/>
      <x:sz val="22"/>
      <x:color rgb="FF000000"/>
      <x:name val="Rockwell"/>
    </x:font>
    <x:font>
      <x:b/>
      <x:sz val="11"/>
      <x:color rgb="FF000000"/>
      <x:name val="Rockwell"/>
    </x:font>
    <x:font>
      <x:b/>
      <x:sz val="11"/>
      <x:color rgb="FF00B050"/>
      <x:name val="Rockwell"/>
    </x:font>
    <x:font>
      <x:b/>
      <x:sz val="11"/>
      <x:color rgb="FFFF0000"/>
      <x:name val="Rockwell"/>
    </x:font>
    <x:font>
      <x:b/>
      <x:sz val="12"/>
      <x:color rgb="FF000000"/>
      <x:name val="Rockwell"/>
    </x:font>
    <x:font>
      <x:b/>
      <x:sz val="11"/>
      <x:color rgb="FF00B050"/>
      <x:name val="Carlito"/>
    </x:font>
    <x:font>
      <x:sz val="11"/>
      <x:color rgb="FFFF0000"/>
      <x:name val="Carlito"/>
    </x:font>
    <x:font>
      <x:sz val="11"/>
      <x:color rgb="FF00B050"/>
      <x:name val="Carlito"/>
    </x:font>
    <x:font>
      <x:b/>
      <x:sz val="22"/>
      <x:color rgb="FFC00000"/>
      <x:name val="Rockwell"/>
    </x:font>
    <x:font>
      <x:sz val="9"/>
      <x:color rgb="FF000000"/>
      <x:name val="Rockwell"/>
    </x:font>
    <x:font>
      <x:sz val="12"/>
      <x:color rgb="FF000000"/>
      <x:name val="Rockwell"/>
    </x:font>
    <x:font>
      <x:sz val="11"/>
      <x:name val="Rockwell"/>
    </x:font>
    <x:font>
      <x:b/>
      <x:sz val="15"/>
      <x:color rgb="FF000000"/>
      <x:name val="Rockwell"/>
    </x:font>
    <x:font>
      <x:b/>
      <x:sz val="10"/>
      <x:color rgb="FF000000"/>
      <x:name val="Rockwell"/>
    </x:font>
    <x:font>
      <x:sz val="10"/>
      <x:name val="Rockwell"/>
    </x:font>
    <x:font>
      <x:i/>
      <x:sz val="9"/>
      <x:color rgb="FF000000"/>
      <x:name val="Rockwell"/>
    </x:font>
    <x:font>
      <x:sz val="11"/>
      <x:name val="Carlito"/>
    </x:font>
    <x:font>
      <x:i/>
      <x:sz val="11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4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</x:borders>
  <x:cellStyleXfs count="2">
    <x:xf numFmtId="0" fontId="0" fillId="0" borderId="0"/>
    <x:xf numFmtId="9" fontId="17" fillId="0" borderId="0" applyFont="0" applyFill="0" applyBorder="0" applyAlignment="0" applyProtection="0"/>
  </x:cellStyleXfs>
  <x:cellXfs count="182">
    <x:xf numFmtId="0" fontId="0" fillId="0" borderId="0" xfId="0"/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/>
    <x:xf numFmtId="17" fontId="0" fillId="0" borderId="2" xfId="0" applyNumberFormat="1" applyFont="1" applyFill="1" applyBorder="1"/>
    <x:xf numFmtId="17" fontId="0" fillId="0" borderId="0" xfId="0" applyNumberFormat="1" applyFont="1" applyFill="1" applyBorder="1"/>
    <x:xf numFmtId="17" fontId="0" fillId="0" borderId="5" xfId="0" applyNumberFormat="1" applyFont="1" applyFill="1" applyBorder="1"/>
    <x:xf numFmtId="164" fontId="0" fillId="0" borderId="2" xfId="0" applyNumberFormat="1" applyFont="1" applyFill="1" applyBorder="1"/>
    <x:xf numFmtId="164" fontId="0" fillId="0" borderId="0" xfId="0" applyNumberFormat="1" applyFont="1" applyFill="1" applyBorder="1"/>
    <x:xf numFmtId="164" fontId="0" fillId="0" borderId="5" xfId="0" applyNumberFormat="1" applyFont="1" applyFill="1" applyBorder="1"/>
    <x:xf numFmtId="165" fontId="0" fillId="0" borderId="2" xfId="0" applyNumberFormat="1" applyFont="1" applyFill="1" applyBorder="1"/>
    <x:xf numFmtId="165" fontId="0" fillId="0" borderId="0" xfId="0" applyNumberFormat="1" applyFont="1" applyFill="1" applyBorder="1"/>
    <x:xf numFmtId="165" fontId="0" fillId="0" borderId="5" xfId="0" applyNumberFormat="1" applyFont="1" applyFill="1" applyBorder="1"/>
    <x:xf numFmtId="164" fontId="6" fillId="0" borderId="2" xfId="0" applyNumberFormat="1" applyFont="1" applyFill="1" applyBorder="1"/>
    <x:xf numFmtId="164" fontId="6" fillId="0" borderId="0" xfId="0" applyNumberFormat="1" applyFont="1" applyFill="1" applyBorder="1"/>
    <x:xf numFmtId="164" fontId="6" fillId="0" borderId="5" xfId="0" applyNumberFormat="1" applyFont="1" applyFill="1" applyBorder="1"/>
    <x:xf numFmtId="164" fontId="7" fillId="0" borderId="3" xfId="0" applyNumberFormat="1" applyFont="1" applyFill="1" applyBorder="1"/>
    <x:xf numFmtId="164" fontId="7" fillId="0" borderId="11" xfId="0" applyNumberFormat="1" applyFont="1" applyFill="1" applyBorder="1"/>
    <x:xf numFmtId="164" fontId="7" fillId="0" borderId="6" xfId="0" applyNumberFormat="1" applyFont="1" applyFill="1" applyBorder="1"/>
    <x:xf numFmtId="164" fontId="8" fillId="0" borderId="3" xfId="0" applyNumberFormat="1" applyFont="1" applyFill="1" applyBorder="1"/>
    <x:xf numFmtId="164" fontId="8" fillId="0" borderId="11" xfId="0" applyNumberFormat="1" applyFont="1" applyFill="1" applyBorder="1"/>
    <x:xf numFmtId="164" fontId="8" fillId="0" borderId="6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horizontal="left" wrapText="1"/>
    </x:xf>
    <x:xf numFmtId="0" fontId="11" fillId="3" borderId="8" xfId="0" applyNumberFormat="1" applyFont="1" applyFill="1" applyBorder="1" applyAlignment="1">
      <x:alignment horizontal="left" wrapText="1"/>
    </x:xf>
    <x:xf numFmtId="0" fontId="11" fillId="3" borderId="9" xfId="0" applyNumberFormat="1" applyFont="1" applyFill="1" applyBorder="1" applyAlignment="1">
      <x:alignment horizontal="left" wrapText="1"/>
    </x:xf>
    <x:xf numFmtId="0" fontId="12" fillId="0" borderId="1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2" fillId="0" borderId="10" xfId="0" applyNumberFormat="1" applyFont="1" applyFill="1" applyBorder="1"/>
    <x:xf numFmtId="0" fontId="12" fillId="0" borderId="4" xfId="0" applyNumberFormat="1" applyFont="1" applyFill="1" applyBorder="1"/>
    <x:xf numFmtId="166" fontId="12" fillId="0" borderId="1" xfId="0" applyNumberFormat="1" applyFont="1" applyFill="1" applyBorder="1"/>
    <x:xf numFmtId="166" fontId="12" fillId="0" borderId="10" xfId="0" applyNumberFormat="1" applyFont="1" applyFill="1" applyBorder="1"/>
    <x:xf numFmtId="166" fontId="12" fillId="0" borderId="4" xfId="0" applyNumberFormat="1" applyFont="1" applyFill="1" applyBorder="1"/>
    <x:xf numFmtId="164" fontId="12" fillId="0" borderId="2" xfId="0" applyNumberFormat="1" applyFont="1" applyFill="1" applyBorder="1"/>
    <x:xf numFmtId="164" fontId="12" fillId="0" borderId="0" xfId="0" applyNumberFormat="1" applyFont="1" applyFill="1" applyBorder="1"/>
    <x:xf numFmtId="164" fontId="12" fillId="0" borderId="5" xfId="0" applyNumberFormat="1" applyFont="1" applyFill="1" applyBorder="1"/>
    <x:xf numFmtId="167" fontId="12" fillId="0" borderId="2" xfId="0" applyNumberFormat="1" applyFont="1" applyFill="1" applyBorder="1"/>
    <x:xf numFmtId="167" fontId="12" fillId="0" borderId="3" xfId="0" applyNumberFormat="1" applyFont="1" applyFill="1" applyBorder="1"/>
    <x:xf numFmtId="167" fontId="12" fillId="0" borderId="0" xfId="0" applyNumberFormat="1" applyFont="1" applyFill="1" applyBorder="1"/>
    <x:xf numFmtId="167" fontId="12" fillId="0" borderId="11" xfId="0" applyNumberFormat="1" applyFont="1" applyFill="1" applyBorder="1"/>
    <x:xf numFmtId="167" fontId="12" fillId="0" borderId="5" xfId="0" applyNumberFormat="1" applyFont="1" applyFill="1" applyBorder="1"/>
    <x:xf numFmtId="167" fontId="12" fillId="0" borderId="6" xfId="0" applyNumberFormat="1" applyFont="1" applyFill="1" applyBorder="1"/>
    <x:xf numFmtId="17" fontId="12" fillId="0" borderId="0" xfId="0" applyNumberFormat="1" applyFont="1" applyFill="1" applyBorder="1"/>
    <x:xf numFmtId="17" fontId="12" fillId="0" borderId="5" xfId="0" applyNumberFormat="1" applyFont="1" applyFill="1" applyBorder="1"/>
    <x:xf numFmtId="165" fontId="12" fillId="0" borderId="0" xfId="0" applyNumberFormat="1" applyFont="1" applyFill="1" applyBorder="1"/>
    <x:xf numFmtId="165" fontId="12" fillId="0" borderId="5" xfId="0" applyNumberFormat="1" applyFont="1" applyFill="1" applyBorder="1"/>
    <x:xf numFmtId="164" fontId="12" fillId="0" borderId="11" xfId="0" applyNumberFormat="1" applyFont="1" applyFill="1" applyBorder="1"/>
    <x:xf numFmtId="164" fontId="12" fillId="0" borderId="6" xfId="0" applyNumberFormat="1" applyFont="1" applyFill="1" applyBorder="1"/>
    <x:xf numFmtId="0" fontId="14" fillId="0" borderId="7" xfId="0" applyNumberFormat="1" applyFont="1" applyFill="1" applyBorder="1" applyAlignment="1">
      <x:alignment horizontal="center" wrapText="1"/>
    </x:xf>
    <x:xf numFmtId="0" fontId="14" fillId="0" borderId="8" xfId="0" applyNumberFormat="1" applyFont="1" applyFill="1" applyBorder="1" applyAlignment="1">
      <x:alignment horizontal="center" wrapText="1"/>
    </x:xf>
    <x:xf numFmtId="0" fontId="14" fillId="0" borderId="9" xfId="0" applyNumberFormat="1" applyFont="1" applyFill="1" applyBorder="1" applyAlignment="1">
      <x:alignment horizontal="center" wrapText="1"/>
    </x:xf>
    <x:xf numFmtId="0" fontId="15" fillId="0" borderId="1" xfId="0" applyNumberFormat="1" applyFont="1" applyFill="1" applyBorder="1"/>
    <x:xf numFmtId="0" fontId="15" fillId="0" borderId="2" xfId="0" applyNumberFormat="1" applyFont="1" applyFill="1" applyBorder="1"/>
    <x:xf numFmtId="0" fontId="15" fillId="0" borderId="3" xfId="0" applyNumberFormat="1" applyFont="1" applyFill="1" applyBorder="1"/>
    <x:xf numFmtId="0" fontId="15" fillId="0" borderId="10" xfId="0" applyNumberFormat="1" applyFont="1" applyFill="1" applyBorder="1"/>
    <x:xf numFmtId="0" fontId="15" fillId="0" borderId="0" xfId="0" applyNumberFormat="1" applyFont="1" applyFill="1" applyBorder="1"/>
    <x:xf numFmtId="0" fontId="15" fillId="0" borderId="11" xfId="0" applyNumberFormat="1" applyFont="1" applyFill="1" applyBorder="1"/>
    <x:xf numFmtId="0" fontId="15" fillId="0" borderId="4" xfId="0" applyNumberFormat="1" applyFont="1" applyFill="1" applyBorder="1"/>
    <x:xf numFmtId="0" fontId="15" fillId="0" borderId="5" xfId="0" applyNumberFormat="1" applyFont="1" applyFill="1" applyBorder="1"/>
    <x:xf numFmtId="0" fontId="15" fillId="0" borderId="6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 applyAlignment="1">
      <x:alignment wrapText="1"/>
    </x:xf>
    <x:xf numFmtId="10" fontId="12" fillId="0" borderId="0" xfId="1" applyNumberFormat="1" applyFont="1" applyFill="1" applyBorder="1"/>
    <x:xf numFmtId="10" fontId="12" fillId="0" borderId="5" xfId="1" applyNumberFormat="1" applyFont="1" applyFill="1" applyBorder="1"/>
    <x:xf numFmtId="170" fontId="1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  <x:xf numFmtId="0" fontId="4" fillId="0" borderId="15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17" fontId="0" fillId="0" borderId="19" xfId="0" applyNumberFormat="1" applyFont="1" applyFill="1" applyBorder="1"/>
    <x:xf numFmtId="17" fontId="0" fillId="0" borderId="12" xfId="0" applyNumberFormat="1" applyFont="1" applyFill="1" applyBorder="1"/>
    <x:xf numFmtId="17" fontId="0" fillId="0" borderId="20" xfId="0" applyNumberFormat="1" applyFont="1" applyFill="1" applyBorder="1"/>
    <x:xf numFmtId="164" fontId="0" fillId="0" borderId="19" xfId="0" applyNumberFormat="1" applyFont="1" applyFill="1" applyBorder="1"/>
    <x:xf numFmtId="164" fontId="0" fillId="0" borderId="12" xfId="0" applyNumberFormat="1" applyFont="1" applyFill="1" applyBorder="1"/>
    <x:xf numFmtId="164" fontId="0" fillId="0" borderId="20" xfId="0" applyNumberFormat="1" applyFont="1" applyFill="1" applyBorder="1"/>
    <x:xf numFmtId="165" fontId="0" fillId="0" borderId="19" xfId="0" applyNumberFormat="1" applyFont="1" applyFill="1" applyBorder="1"/>
    <x:xf numFmtId="165" fontId="0" fillId="0" borderId="12" xfId="0" applyNumberFormat="1" applyFont="1" applyFill="1" applyBorder="1"/>
    <x:xf numFmtId="165" fontId="0" fillId="0" borderId="20" xfId="0" applyNumberFormat="1" applyFont="1" applyFill="1" applyBorder="1"/>
    <x:xf numFmtId="164" fontId="6" fillId="0" borderId="19" xfId="0" applyNumberFormat="1" applyFont="1" applyFill="1" applyBorder="1"/>
    <x:xf numFmtId="164" fontId="6" fillId="0" borderId="12" xfId="0" applyNumberFormat="1" applyFont="1" applyFill="1" applyBorder="1"/>
    <x:xf numFmtId="164" fontId="6" fillId="0" borderId="20" xfId="0" applyNumberFormat="1" applyFont="1" applyFill="1" applyBorder="1"/>
    <x:xf numFmtId="164" fontId="7" fillId="0" borderId="21" xfId="0" applyNumberFormat="1" applyFont="1" applyFill="1" applyBorder="1"/>
    <x:xf numFmtId="164" fontId="7" fillId="0" borderId="22" xfId="0" applyNumberFormat="1" applyFont="1" applyFill="1" applyBorder="1"/>
    <x:xf numFmtId="164" fontId="7" fillId="0" borderId="23" xfId="0" applyNumberFormat="1" applyFont="1" applyFill="1" applyBorder="1"/>
    <x:xf numFmtId="164" fontId="8" fillId="0" borderId="21" xfId="0" applyNumberFormat="1" applyFont="1" applyFill="1" applyBorder="1"/>
    <x:xf numFmtId="164" fontId="8" fillId="0" borderId="22" xfId="0" applyNumberFormat="1" applyFont="1" applyFill="1" applyBorder="1"/>
    <x:xf numFmtId="164" fontId="8" fillId="0" borderId="23" xfId="0" applyNumberFormat="1" applyFont="1" applyFill="1" applyBorder="1"/>
    <x:xf numFmtId="0" fontId="9" fillId="2" borderId="12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wrapText="1"/>
    </x:xf>
    <x:xf numFmtId="0" fontId="10" fillId="0" borderId="21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wrapText="1"/>
    </x:xf>
    <x:xf numFmtId="0" fontId="10" fillId="0" borderId="22" xfId="0" applyNumberFormat="1" applyFont="1" applyFill="1" applyBorder="1" applyAlignment="1">
      <x:alignment wrapText="1"/>
    </x:xf>
    <x:xf numFmtId="0" fontId="10" fillId="0" borderId="18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wrapText="1"/>
    </x:xf>
    <x:xf numFmtId="0" fontId="10" fillId="0" borderId="23" xfId="0" applyNumberFormat="1" applyFont="1" applyFill="1" applyBorder="1" applyAlignment="1">
      <x:alignment wrapText="1"/>
    </x:xf>
    <x:xf numFmtId="0" fontId="11" fillId="3" borderId="13" xfId="0" applyNumberFormat="1" applyFont="1" applyFill="1" applyBorder="1" applyAlignment="1">
      <x:alignment horizontal="left" wrapText="1"/>
    </x:xf>
    <x:xf numFmtId="0" fontId="11" fillId="3" borderId="14" xfId="0" applyNumberFormat="1" applyFont="1" applyFill="1" applyBorder="1" applyAlignment="1">
      <x:alignment horizontal="left" wrapText="1"/>
    </x:xf>
    <x:xf numFmtId="0" fontId="11" fillId="3" borderId="15" xfId="0" applyNumberFormat="1" applyFont="1" applyFill="1" applyBorder="1" applyAlignment="1">
      <x:alignment horizontal="left" wrapText="1"/>
    </x:xf>
    <x:xf numFmtId="0" fontId="12" fillId="0" borderId="16" xfId="0" applyNumberFormat="1" applyFont="1" applyFill="1" applyBorder="1"/>
    <x:xf numFmtId="0" fontId="12" fillId="0" borderId="19" xfId="0" applyNumberFormat="1" applyFont="1" applyFill="1" applyBorder="1"/>
    <x:xf numFmtId="0" fontId="12" fillId="0" borderId="21" xfId="0" applyNumberFormat="1" applyFont="1" applyFill="1" applyBorder="1"/>
    <x:xf numFmtId="0" fontId="12" fillId="0" borderId="17" xfId="0" applyNumberFormat="1" applyFont="1" applyFill="1" applyBorder="1"/>
    <x:xf numFmtId="0" fontId="12" fillId="0" borderId="18" xfId="0" applyNumberFormat="1" applyFont="1" applyFill="1" applyBorder="1"/>
    <x:xf numFmtId="166" fontId="12" fillId="0" borderId="16" xfId="0" applyNumberFormat="1" applyFont="1" applyFill="1" applyBorder="1"/>
    <x:xf numFmtId="166" fontId="12" fillId="0" borderId="17" xfId="0" applyNumberFormat="1" applyFont="1" applyFill="1" applyBorder="1"/>
    <x:xf numFmtId="166" fontId="12" fillId="0" borderId="18" xfId="0" applyNumberFormat="1" applyFont="1" applyFill="1" applyBorder="1"/>
    <x:xf numFmtId="164" fontId="12" fillId="0" borderId="19" xfId="0" applyNumberFormat="1" applyFont="1" applyFill="1" applyBorder="1"/>
    <x:xf numFmtId="164" fontId="12" fillId="0" borderId="12" xfId="0" applyNumberFormat="1" applyFont="1" applyFill="1" applyBorder="1"/>
    <x:xf numFmtId="164" fontId="12" fillId="0" borderId="20" xfId="0" applyNumberFormat="1" applyFont="1" applyFill="1" applyBorder="1"/>
    <x:xf numFmtId="167" fontId="12" fillId="0" borderId="19" xfId="0" applyNumberFormat="1" applyFont="1" applyFill="1" applyBorder="1"/>
    <x:xf numFmtId="167" fontId="12" fillId="0" borderId="21" xfId="0" applyNumberFormat="1" applyFont="1" applyFill="1" applyBorder="1"/>
    <x:xf numFmtId="167" fontId="12" fillId="0" borderId="12" xfId="0" applyNumberFormat="1" applyFont="1" applyFill="1" applyBorder="1"/>
    <x:xf numFmtId="167" fontId="12" fillId="0" borderId="22" xfId="0" applyNumberFormat="1" applyFont="1" applyFill="1" applyBorder="1"/>
    <x:xf numFmtId="167" fontId="12" fillId="0" borderId="20" xfId="0" applyNumberFormat="1" applyFont="1" applyFill="1" applyBorder="1"/>
    <x:xf numFmtId="167" fontId="12" fillId="0" borderId="23" xfId="0" applyNumberFormat="1" applyFont="1" applyFill="1" applyBorder="1"/>
    <x:xf numFmtId="17" fontId="12" fillId="0" borderId="12" xfId="0" applyNumberFormat="1" applyFont="1" applyFill="1" applyBorder="1"/>
    <x:xf numFmtId="17" fontId="12" fillId="0" borderId="20" xfId="0" applyNumberFormat="1" applyFont="1" applyFill="1" applyBorder="1"/>
    <x:xf numFmtId="165" fontId="12" fillId="0" borderId="12" xfId="0" applyNumberFormat="1" applyFont="1" applyFill="1" applyBorder="1"/>
    <x:xf numFmtId="165" fontId="12" fillId="0" borderId="20" xfId="0" applyNumberFormat="1" applyFont="1" applyFill="1" applyBorder="1"/>
    <x:xf numFmtId="164" fontId="12" fillId="0" borderId="22" xfId="0" applyNumberFormat="1" applyFont="1" applyFill="1" applyBorder="1"/>
    <x:xf numFmtId="164" fontId="12" fillId="0" borderId="23" xfId="0" applyNumberFormat="1" applyFont="1" applyFill="1" applyBorder="1"/>
    <x:xf numFmtId="0" fontId="14" fillId="0" borderId="13" xfId="0" applyNumberFormat="1" applyFont="1" applyFill="1" applyBorder="1" applyAlignment="1">
      <x:alignment horizontal="center" wrapText="1"/>
    </x:xf>
    <x:xf numFmtId="0" fontId="14" fillId="0" borderId="14" xfId="0" applyNumberFormat="1" applyFont="1" applyFill="1" applyBorder="1" applyAlignment="1">
      <x:alignment horizontal="center" wrapText="1"/>
    </x:xf>
    <x:xf numFmtId="0" fontId="14" fillId="0" borderId="15" xfId="0" applyNumberFormat="1" applyFont="1" applyFill="1" applyBorder="1" applyAlignment="1">
      <x:alignment horizontal="center" wrapText="1"/>
    </x:xf>
    <x:xf numFmtId="0" fontId="15" fillId="0" borderId="16" xfId="0" applyNumberFormat="1" applyFont="1" applyFill="1" applyBorder="1"/>
    <x:xf numFmtId="0" fontId="15" fillId="0" borderId="19" xfId="0" applyNumberFormat="1" applyFont="1" applyFill="1" applyBorder="1"/>
    <x:xf numFmtId="0" fontId="15" fillId="0" borderId="21" xfId="0" applyNumberFormat="1" applyFont="1" applyFill="1" applyBorder="1"/>
    <x:xf numFmtId="0" fontId="15" fillId="0" borderId="17" xfId="0" applyNumberFormat="1" applyFont="1" applyFill="1" applyBorder="1"/>
    <x:xf numFmtId="0" fontId="15" fillId="0" borderId="12" xfId="0" applyNumberFormat="1" applyFont="1" applyFill="1" applyBorder="1"/>
    <x:xf numFmtId="0" fontId="15" fillId="0" borderId="22" xfId="0" applyNumberFormat="1" applyFont="1" applyFill="1" applyBorder="1"/>
    <x:xf numFmtId="0" fontId="15" fillId="0" borderId="18" xfId="0" applyNumberFormat="1" applyFont="1" applyFill="1" applyBorder="1"/>
    <x:xf numFmtId="0" fontId="15" fillId="0" borderId="20" xfId="0" applyNumberFormat="1" applyFont="1" applyFill="1" applyBorder="1"/>
    <x:xf numFmtId="0" fontId="15" fillId="0" borderId="23" xfId="0" applyNumberFormat="1" applyFont="1" applyFill="1" applyBorder="1"/>
    <x:xf numFmtId="0" fontId="1" fillId="2" borderId="16" xfId="0" applyNumberFormat="1" applyFont="1" applyFill="1" applyBorder="1" applyAlignment="1">
      <x:alignment horizontal="center" vertical="center"/>
    </x:xf>
    <x:xf numFmtId="0" fontId="1" fillId="2" borderId="19" xfId="0" applyNumberFormat="1" applyFont="1" applyFill="1" applyBorder="1" applyAlignment="1">
      <x:alignment horizontal="center" vertical="center"/>
    </x:xf>
    <x:xf numFmtId="0" fontId="1" fillId="2" borderId="21" xfId="0" applyNumberFormat="1" applyFont="1" applyFill="1" applyBorder="1" applyAlignment="1">
      <x:alignment horizontal="center" vertical="center"/>
    </x:xf>
    <x:xf numFmtId="0" fontId="1" fillId="2" borderId="18" xfId="0" applyNumberFormat="1" applyFont="1" applyFill="1" applyBorder="1" applyAlignment="1">
      <x:alignment horizontal="center" vertical="center"/>
    </x:xf>
    <x:xf numFmtId="0" fontId="1" fillId="2" borderId="20" xfId="0" applyNumberFormat="1" applyFont="1" applyFill="1" applyBorder="1" applyAlignment="1">
      <x:alignment horizontal="center" vertical="center"/>
    </x:xf>
    <x:xf numFmtId="0" fontId="1" fillId="2" borderId="23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wrapText="1"/>
    </x:xf>
    <x:xf numFmtId="0" fontId="13" fillId="2" borderId="12" xfId="0" applyNumberFormat="1" applyFont="1" applyFill="1" applyBorder="1" applyAlignment="1">
      <x:alignment horizontal="center" vertical="center"/>
    </x:xf>
    <x:xf numFmtId="0" fontId="16" fillId="4" borderId="12" xfId="0" applyNumberFormat="1" applyFont="1" applyFill="1" applyBorder="1" applyAlignment="1">
      <x:alignment wrapText="1"/>
    </x:xf>
    <x:xf numFmtId="10" fontId="12" fillId="0" borderId="12" xfId="0" applyNumberFormat="1" applyFont="1" applyFill="1" applyBorder="1"/>
    <x:xf numFmtId="10" fontId="12" fillId="0" borderId="20" xfId="0" applyNumberFormat="1" applyFont="1" applyFill="1" applyBorder="1"/>
    <x:xf numFmtId="170" fontId="10" fillId="0" borderId="20" xfId="0" applyNumberFormat="1" applyFont="1" applyFill="1" applyBorder="1" applyAlignment="1">
      <x:alignment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Pourcentage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00ec105884339" /><Relationship Type="http://schemas.openxmlformats.org/officeDocument/2006/relationships/theme" Target="/xl/theme/theme1.xml" Id="R7ad04bbd94cb44dc" /><Relationship Type="http://schemas.openxmlformats.org/officeDocument/2006/relationships/sharedStrings" Target="/xl/sharedStrings.xml" Id="Ra5337831da62415e" /><Relationship Type="http://schemas.openxmlformats.org/officeDocument/2006/relationships/worksheet" Target="/xl/worksheets/sheet1.xml" Id="Re4e4d258ecc54ac7" /><Relationship Type="http://schemas.openxmlformats.org/officeDocument/2006/relationships/worksheet" Target="/xl/worksheets/sheet2.xml" Id="R27d0951fcf984ad3" /><Relationship Type="http://schemas.openxmlformats.org/officeDocument/2006/relationships/worksheet" Target="/xl/worksheets/sheet3.xml" Id="R481d2cf41fed43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639b8f29b443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Fonctions d’écoulement des dépôts à vue par compte</a:t>
            </a:r>
          </a:p>
        </c:rich>
      </c:tx>
    </c:title>
    <c:plotArea>
      <c:lineChart>
        <c:grouping val="standard"/>
        <c:ser>
          <c:idx val="0"/>
          <c:order val="0"/>
          <c:tx>
            <c:v>371E</c:v>
          </c:tx>
          <c:marker>
            <c:symbol val="none"/>
          </c:marker>
          <c:cat>
            <c:numLit>
              <c:formatCode>0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Lit>
              <c:formatCode>0%</c:formatCode>
              <c:ptCount val="25"/>
              <c:pt idx="0">
                <c:v>1</c:v>
              </c:pt>
              <c:pt idx="1">
                <c:v>0.7209580657322964</c:v>
              </c:pt>
              <c:pt idx="2">
                <c:v>0.5197805325444541</c:v>
              </c:pt>
              <c:pt idx="3">
                <c:v>0.3747399673485525</c:v>
              </c:pt>
              <c:pt idx="4">
                <c:v>0.2701718020121963</c:v>
              </c:pt>
              <c:pt idx="5">
                <c:v>0.194782539794122</c:v>
              </c:pt>
              <c:pt idx="6">
                <c:v>0.14043004312839422</c:v>
              </c:pt>
              <c:pt idx="7">
                <c:v>0.10124417226455006</c:v>
              </c:pt>
              <c:pt idx="8">
                <c:v>0.0729928026025174</c:v>
              </c:pt>
              <c:pt idx="9">
                <c:v>0.05262474977669028</c:v>
              </c:pt>
              <c:pt idx="10">
                <c:v>0.03794023780864872</c:v>
              </c:pt>
              <c:pt idx="11">
                <c:v>0.027353320463946715</c:v>
              </c:pt>
              <c:pt idx="12">
                <c:v>0.019720597013042664</c:v>
              </c:pt>
              <c:pt idx="13">
                <c:v>0.014217723477609339</c:v>
              </c:pt>
              <c:pt idx="14">
                <c:v>0.010250382417533887</c:v>
              </c:pt>
              <c:pt idx="15">
                <c:v>0.00739009588076157</c:v>
              </c:pt>
              <c:pt idx="16">
                <c:v>0.005327949231770072</c:v>
              </c:pt>
              <c:pt idx="17">
                <c:v>0.0038412279724568256</c:v>
              </c:pt>
              <c:pt idx="18">
                <c:v>0.0027693642890592634</c:v>
              </c:pt>
              <c:pt idx="19">
                <c:v>0.0019965955211482624</c:v>
              </c:pt>
              <c:pt idx="20">
                <c:v>0.0014394616449768176</c:v>
              </c:pt>
              <c:pt idx="21">
                <c:v>0.0010377914832583159</c:v>
              </c:pt>
              <c:pt idx="22">
                <c:v>0.0007482041404033662</c:v>
              </c:pt>
              <c:pt idx="23">
                <c:v>0.0005394238098381063</c:v>
              </c:pt>
              <c:pt idx="24">
                <c:v>0.0003889019465508272</c:v>
              </c:pt>
            </c:numLit>
          </c:val>
        </c:ser>
        <c:ser>
          <c:idx val="1"/>
          <c:order val="1"/>
          <c:tx>
            <c:v>371P</c:v>
          </c:tx>
          <c:marker>
            <c:symbol val="none"/>
          </c:marker>
          <c:cat>
            <c:numLit>
              <c:formatCode>0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Lit>
              <c:formatCode>0%</c:formatCode>
              <c:ptCount val="25"/>
              <c:pt idx="0">
                <c:v>1</c:v>
              </c:pt>
              <c:pt idx="1">
                <c:v>0.4399557024125395</c:v>
              </c:pt>
              <c:pt idx="2">
                <c:v>0.19356102008531104</c:v>
              </c:pt>
              <c:pt idx="3">
                <c:v>0.08515827455132068</c:v>
              </c:pt>
              <c:pt idx="4">
                <c:v>0.03746586849646618</c:v>
              </c:pt>
              <c:pt idx="5">
                <c:v>0.016483322490858612</c:v>
              </c:pt>
              <c:pt idx="6">
                <c:v>0.007251931724558111</c:v>
              </c:pt>
              <c:pt idx="7">
                <c:v>0.0031905287157257428</c:v>
              </c:pt>
              <c:pt idx="8">
                <c:v>0.0014036913021944967</c:v>
              </c:pt>
              <c:pt idx="9">
                <c:v>0.0006175619928273521</c:v>
              </c:pt>
              <c:pt idx="10">
                <c:v>0.00027169992033764537</c:v>
              </c:pt>
              <c:pt idx="11">
                <c:v>0.0001195359292975797</c:v>
              </c:pt>
              <c:pt idx="12">
                <c:v>5.2590513737652384E-05</c:v>
              </c:pt>
              <c:pt idx="13">
                <c:v>2.3137496411685184E-05</c:v>
              </c:pt>
              <c:pt idx="14">
                <c:v>1.0179473485870558E-05</c:v>
              </c:pt>
              <c:pt idx="15">
                <c:v>4.478517407666E-06</c:v>
              </c:pt>
              <c:pt idx="16">
                <c:v>1.970349271856482E-06</c:v>
              </c:pt>
              <c:pt idx="17">
                <c:v>8.668663978976551E-07</c:v>
              </c:pt>
              <c:pt idx="18">
                <c:v>3.8138281498489045E-07</c:v>
              </c:pt>
              <c:pt idx="19">
                <c:v>1.6779154425474893E-07</c:v>
              </c:pt>
              <c:pt idx="20">
                <c:v>7.382084671148284E-08</c:v>
              </c:pt>
              <c:pt idx="21">
                <c:v>3.247790246763887E-08</c:v>
              </c:pt>
              <c:pt idx="22">
                <c:v>1.4288838393035971E-08</c:v>
              </c:pt>
              <c:pt idx="23">
                <c:v>6.286455931867409E-09</c:v>
              </c:pt>
              <c:pt idx="24">
                <c:v>2.765762135190204E-09</c:v>
              </c:pt>
            </c:numLit>
          </c:val>
        </c:ser>
        <c:ser>
          <c:idx val="2"/>
          <c:order val="2"/>
          <c:tx>
            <c:v>372E</c:v>
          </c:tx>
          <c:marker>
            <c:symbol val="none"/>
          </c:marker>
          <c:cat>
            <c:numLit>
              <c:formatCode>0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Lit>
              <c:formatCode>0%</c:formatCode>
              <c:ptCount val="25"/>
              <c:pt idx="0">
                <c:v>1</c:v>
              </c:pt>
              <c:pt idx="1">
                <c:v>0.5488817221873317</c:v>
              </c:pt>
              <c:pt idx="2">
                <c:v>0.30127114495133117</c:v>
              </c:pt>
              <c:pt idx="3">
                <c:v>0.16536222488623586</c:v>
              </c:pt>
              <c:pt idx="4">
                <c:v>0.09076430278028598</c:v>
              </c:pt>
              <c:pt idx="5">
                <c:v>0.049818866823175795</c:v>
              </c:pt>
              <c:pt idx="6">
                <c:v>0.02734466541932604</c:v>
              </c:pt>
              <c:pt idx="7">
                <c:v>0.01500898704799606</c:v>
              </c:pt>
              <c:pt idx="8">
                <c:v>0.00823815865919143</c:v>
              </c:pt>
              <c:pt idx="9">
                <c:v>0.00452177471250947</c:v>
              </c:pt>
              <c:pt idx="10">
                <c:v>0.0024819194915453257</c:v>
              </c:pt>
              <c:pt idx="11">
                <c:v>0.0013622802448497045</c:v>
              </c:pt>
              <c:pt idx="12">
                <c:v>0.0007477307268948854</c:v>
              </c:pt>
              <c:pt idx="13">
                <c:v>0.0004104157291104503</c:v>
              </c:pt>
              <c:pt idx="14">
                <c:v>0.00022526969220691348</c:v>
              </c:pt>
              <c:pt idx="15">
                <c:v>0.00012364641661514065</c:v>
              </c:pt>
              <c:pt idx="16">
                <c:v>6.786725809401074E-05</c:v>
              </c:pt>
              <c:pt idx="17">
                <c:v>3.725109750277276E-05</c:v>
              </c:pt>
              <c:pt idx="18">
                <c:v>2.0446446550690096E-05</c:v>
              </c:pt>
              <c:pt idx="19">
                <c:v>1.1222680795354014E-05</c:v>
              </c:pt>
              <c:pt idx="20">
                <c:v>6.1599243625126076E-06</c:v>
              </c:pt>
              <c:pt idx="21">
                <c:v>3.381069892639617E-06</c:v>
              </c:pt>
              <c:pt idx="22">
                <c:v>1.8558074655077708E-06</c:v>
              </c:pt>
              <c:pt idx="23">
                <c:v>1.0186187977160128E-06</c:v>
              </c:pt>
              <c:pt idx="24">
                <c:v>5.591012399427537E-07</c:v>
              </c:pt>
            </c:numLit>
          </c:val>
        </c:ser>
        <c:ser>
          <c:idx val="3"/>
          <c:order val="3"/>
          <c:tx>
            <c:v>372P</c:v>
          </c:tx>
          <c:marker>
            <c:symbol val="none"/>
          </c:marker>
          <c:cat>
            <c:numLit>
              <c:formatCode>0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Lit>
              <c:formatCode>0%</c:formatCode>
              <c:ptCount val="25"/>
              <c:pt idx="0">
                <c:v>1</c:v>
              </c:pt>
              <c:pt idx="1">
                <c:v>0.9235435215948778</c:v>
              </c:pt>
              <c:pt idx="2">
                <c:v>0.8529326362798686</c:v>
              </c:pt>
              <c:pt idx="3">
                <c:v>0.7877204105931128</c:v>
              </c:pt>
              <c:pt idx="4">
                <c:v>0.7274940820313266</c:v>
              </c:pt>
              <c:pt idx="5">
                <c:v>0.6718724464586443</c:v>
              </c:pt>
              <c:pt idx="6">
                <c:v>0.6205034452649824</c:v>
              </c:pt>
              <c:pt idx="7">
                <c:v>0.5730619370017763</c:v>
              </c:pt>
              <c:pt idx="8">
                <c:v>0.5292476393906025</c:v>
              </c:pt>
              <c:pt idx="9">
                <c:v>0.488783228678573</c:v>
              </c:pt>
              <c:pt idx="10">
                <c:v>0.4514125843103238</c:v>
              </c:pt>
              <c:pt idx="11">
                <c:v>0.4168991678062011</c:v>
              </c:pt>
              <c:pt idx="12">
                <c:v>0.38502452558571293</c:v>
              </c:pt>
              <c:pt idx="13">
                <c:v>0.3555869062598264</c:v>
              </c:pt>
              <c:pt idx="14">
                <c:v>0.3283999836402278</c:v>
              </c:pt>
              <c:pt idx="15">
                <c:v>0.3032916773827963</c:v>
              </c:pt>
              <c:pt idx="16">
                <c:v>0.28010306380052524</c:v>
              </c:pt>
              <c:pt idx="17">
                <c:v>0.2586873699518518</c:v>
              </c:pt>
              <c:pt idx="18">
                <c:v>0.2389090446374502</c:v>
              </c:pt>
              <c:pt idx="19">
                <c:v>0.2206429004253386</c:v>
              </c:pt>
              <c:pt idx="20">
                <c:v>0.2037733212737252</c:v>
              </c:pt>
              <c:pt idx="21">
                <c:v>0.18819353073622058</c:v>
              </c:pt>
              <c:pt idx="22">
                <c:v>0.17380491611750304</c:v>
              </c:pt>
              <c:pt idx="23">
                <c:v>0.16051640430166111</c:v>
              </c:pt>
              <c:pt idx="24">
                <c:v>0.1482438853025033</c:v>
              </c:pt>
            </c:numLit>
          </c:val>
        </c:ser>
        <c:ser>
          <c:idx val="4"/>
          <c:order val="4"/>
          <c:tx>
            <c:v>373E</c:v>
          </c:tx>
          <c:marker>
            <c:symbol val="none"/>
          </c:marker>
          <c:cat>
            <c:numLit>
              <c:formatCode>0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Lit>
              <c:formatCode>0%</c:formatCode>
              <c:ptCount val="25"/>
              <c:pt idx="0">
                <c:v>1</c:v>
              </c:pt>
              <c:pt idx="1">
                <c:v>0.8483289968270038</c:v>
              </c:pt>
              <c:pt idx="2">
                <c:v>0.7196620868575105</c:v>
              </c:pt>
              <c:pt idx="3">
                <c:v>0.61051021619826</c:v>
              </c:pt>
              <c:pt idx="4">
                <c:v>0.5179135192601071</c:v>
              </c:pt>
              <c:pt idx="5">
                <c:v>0.4393610562370697</c:v>
              </c:pt>
              <c:pt idx="6">
                <c:v>0.3727227240824461</c:v>
              </c:pt>
              <c:pt idx="7">
                <c:v>0.3161914946154896</c:v>
              </c:pt>
              <c:pt idx="8">
                <c:v>0.26823441343238924</c:v>
              </c:pt>
              <c:pt idx="9">
                <c:v>0.22755103086157857</c:v>
              </c:pt>
              <c:pt idx="10">
                <c:v>0.19303813773775352</c:v>
              </c:pt>
              <c:pt idx="11">
                <c:v>0.16375984973642144</c:v>
              </c:pt>
              <c:pt idx="12">
                <c:v>0.13892222904743923</c:v>
              </c:pt>
              <c:pt idx="13">
                <c:v>0.11785175520478537</c:v>
              </c:pt>
              <c:pt idx="14">
                <c:v>0.09997706126717719</c:v>
              </c:pt>
              <c:pt idx="15">
                <c:v>0.08481344009049632</c:v>
              </c:pt>
              <c:pt idx="16">
                <c:v>0.07194970054941793</c:v>
              </c:pt>
              <c:pt idx="17">
                <c:v>0.061037017289091035</c:v>
              </c:pt>
              <c:pt idx="18">
                <c:v>0.05177947164616708</c:v>
              </c:pt>
              <c:pt idx="19">
                <c:v>0.0439260272378252</c:v>
              </c:pt>
              <c:pt idx="20">
                <c:v>0.037263722621259904</c:v>
              </c:pt>
              <c:pt idx="21">
                <c:v>0.03161189642933314</c:v>
              </c:pt>
              <c:pt idx="22">
                <c:v>0.026817288385695325</c:v>
              </c:pt>
              <c:pt idx="23">
                <c:v>0.022749883353857372</c:v>
              </c:pt>
              <c:pt idx="24">
                <c:v>0.019299385723509168</c:v>
              </c:pt>
            </c:numLit>
          </c:val>
        </c:ser>
        <c:ser>
          <c:idx val="5"/>
          <c:order val="5"/>
          <c:tx>
            <c:v>373P</c:v>
          </c:tx>
          <c:marker>
            <c:symbol val="none"/>
          </c:marker>
          <c:cat>
            <c:numLit>
              <c:formatCode>0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Lit>
              <c:formatCode>0%</c:formatCode>
              <c:ptCount val="25"/>
              <c:pt idx="0">
                <c:v>1</c:v>
              </c:pt>
              <c:pt idx="1">
                <c:v>0.9860666907748635</c:v>
              </c:pt>
              <c:pt idx="2">
                <c:v>0.9723275186556903</c:v>
              </c:pt>
              <c:pt idx="3">
                <c:v>0.9587797786701511</c:v>
              </c:pt>
              <c:pt idx="4">
                <c:v>0.9454208035351319</c:v>
              </c:pt>
              <c:pt idx="5">
                <c:v>0.9322479631316</c:v>
              </c:pt>
              <c:pt idx="6">
                <c:v>0.9192586639867838</c:v>
              </c:pt>
              <c:pt idx="7">
                <c:v>0.9064503487635701</c:v>
              </c:pt>
              <c:pt idx="8">
                <c:v>0.8938204957570145</c:v>
              </c:pt>
              <c:pt idx="9">
                <c:v>0.8813666183978673</c:v>
              </c:pt>
              <c:pt idx="10">
                <c:v>0.869086264763017</c:v>
              </c:pt>
              <c:pt idx="11">
                <c:v>0.8569770170927551</c:v>
              </c:pt>
              <c:pt idx="12">
                <c:v>0.8450364913147667</c:v>
              </c:pt>
              <c:pt idx="13">
                <c:v>0.8332623365747537</c:v>
              </c:pt>
              <c:pt idx="14">
                <c:v>0.821652234773598</c:v>
              </c:pt>
              <c:pt idx="15">
                <c:v>0.810203900110973</c:v>
              </c:pt>
              <c:pt idx="16">
                <c:v>0.7989150786353153</c:v>
              </c:pt>
              <c:pt idx="17">
                <c:v>0.7877835478000652</c:v>
              </c:pt>
              <c:pt idx="18">
                <c:v>0.7768071160260919</c:v>
              </c:pt>
              <c:pt idx="19">
                <c:v>0.7659836222702139</c:v>
              </c:pt>
              <c:pt idx="20">
                <c:v>0.7553109355997328</c:v>
              </c:pt>
              <c:pt idx="21">
                <c:v>0.7447869547728947</c:v>
              </c:pt>
              <c:pt idx="22">
                <c:v>0.7344096078251963</c:v>
              </c:pt>
              <c:pt idx="23">
                <c:v>0.7241768516614566</c:v>
              </c:pt>
              <c:pt idx="24">
                <c:v>0.7140866716535718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Horizon (mois)</a:t>
                </a:r>
              </a:p>
            </c:rich>
          </c:tx>
        </c:title>
        <c:numFmt formatCode="0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Partie stable du stock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  <c:majorUnit val="0.1"/>
      </c:valAx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98</xdr:row>
      <xdr:rowOff>0</xdr:rowOff>
    </xdr:from>
    <xdr:to>
      <xdr:col>14</xdr:col>
      <xdr:colOff>0</xdr:colOff>
      <xdr:row>125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39b8f29b443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3d86127ba74a15" /></Relationships>
</file>

<file path=xl/worksheets/sheet1.xml><?xml version="1.0" encoding="utf-8"?>
<x:worksheet xmlns:x="http://schemas.openxmlformats.org/spreadsheetml/2006/main">
  <x:sheetFormatPr baseColWidth="10" defaultColWidth="8.6640625" defaultRowHeight="14"/>
  <x:cols>
    <x:col min="1" max="1" width="8.4140625" customWidth="1"/>
    <x:col min="2" max="2" width="14.1640625" customWidth="1"/>
    <x:col min="3" max="3" width="11.4140625" customWidth="1"/>
    <x:col min="4" max="4" width="17.25" customWidth="1"/>
    <x:col min="5" max="5" width="18.75" customWidth="1"/>
    <x:col min="6" max="6" width="14.83203125" customWidth="1"/>
    <x:col min="7" max="7" width="18.5" customWidth="1"/>
    <x:col min="8" max="8" width="19.25" customWidth="1"/>
    <x:col min="9" max="9" width="17.83203125" customWidth="1"/>
    <x:col min="10" max="10" width="13.1640625" customWidth="1"/>
    <x:col min="11" max="11" width="11.4140625" customWidth="1"/>
    <x:col min="12" max="12" width="27.5" customWidth="1"/>
    <x:col min="13" max="13" width="23.25" customWidth="1"/>
    <x:col min="14" max="14" width="17.25" customWidth="1"/>
  </x:cols>
  <x:sheetData>
    <x:row r="2" ht="10" customHeight="1">
      <x:c r="B2" s="76" t="s">
        <x:v>0</x:v>
      </x:c>
      <x:c r="C2" s="77"/>
      <x:c r="D2" s="77"/>
      <x:c r="E2" s="77"/>
      <x:c r="F2" s="77"/>
      <x:c r="G2" s="77"/>
      <x:c r="H2" s="78"/>
      <x:c r="J2" s="76" t="s">
        <x:v>1</x:v>
      </x:c>
      <x:c r="K2" s="77"/>
      <x:c r="L2" s="77"/>
      <x:c r="M2" s="77"/>
      <x:c r="N2" s="78"/>
    </x:row>
    <x:row r="3" ht="10" customHeight="1">
      <x:c r="B3" s="79"/>
      <x:c r="C3" s="80"/>
      <x:c r="D3" s="80"/>
      <x:c r="E3" s="80"/>
      <x:c r="F3" s="80"/>
      <x:c r="G3" s="80"/>
      <x:c r="H3" s="81"/>
      <x:c r="J3" s="79"/>
      <x:c r="K3" s="80"/>
      <x:c r="L3" s="80"/>
      <x:c r="M3" s="80"/>
      <x:c r="N3" s="81"/>
    </x:row>
    <x:row r="5" ht="26" customHeight="1">
      <x:c r="B5" s="1" t="s">
        <x:v>2</x:v>
      </x:c>
      <x:c r="C5" s="2" t="s">
        <x:v>3</x:v>
      </x:c>
      <x:c r="D5" s="2" t="s">
        <x:v>4</x:v>
      </x:c>
      <x:c r="E5" s="2" t="s">
        <x:v>5</x:v>
      </x:c>
      <x:c r="F5" s="2" t="s">
        <x:v>6</x:v>
      </x:c>
      <x:c r="G5" s="3" t="s">
        <x:v>7</x:v>
      </x:c>
      <x:c r="H5" s="4" t="s">
        <x:v>8</x:v>
      </x:c>
      <x:c r="J5" s="5" t="s">
        <x:v>2</x:v>
      </x:c>
      <x:c r="K5" s="6" t="s">
        <x:v>3</x:v>
      </x:c>
      <x:c r="L5" s="6" t="s">
        <x:v>9</x:v>
      </x:c>
      <x:c r="M5" s="6" t="s">
        <x:v>10</x:v>
      </x:c>
      <x:c r="N5" s="7" t="s">
        <x:v>11</x:v>
      </x:c>
    </x:row>
    <x:row r="6">
      <x:c r="B6" s="8">
        <x:v>1</x:v>
      </x:c>
      <x:c r="C6" s="11" t="n">
        <x:f>EOMONTH('Tous détail Stocks'!B139,1)</x:f>
        <x:v>46053</x:v>
      </x:c>
      <x:c r="D6" s="14" t="n">
        <x:f t="shared" ref="D6:D37" si="0">G6+H6</x:f>
        <x:v>1181986935772.2563</x:v>
      </x:c>
      <x:c r="E6" s="17" t="n">
        <x:f t="shared" ref="E6:E37" si="1">G6/D6</x:f>
        <x:v>0.8777784297695413</x:v>
      </x:c>
      <x:c r="F6" s="17" t="n">
        <x:f t="shared" ref="F6:F37" si="2">H6/D6</x:f>
        <x:v>0.12222157023045865</x:v>
      </x:c>
      <x:c r="G6" s="20" t="n">
        <x:f>'Tous détail Stocks'!F146+'Tous détail Stocks'!N146+'Tous détail Stocks'!V146+'Tous détail Stocks'!AC146+'Tous détail Stocks'!AJ146+'Tous détail Stocks'!AQ146</x:f>
        <x:v>1037522636490.283</x:v>
      </x:c>
      <x:c r="H6" s="23" t="n">
        <x:f>'Tous détail Stocks'!G146+'Tous détail Stocks'!O146+'Tous détail Stocks'!W146+'Tous détail Stocks'!AD146+'Tous détail Stocks'!AK146+'Tous détail Stocks'!AR146</x:f>
        <x:v>144464299281.97345</x:v>
      </x:c>
      <x:c r="J6" s="8">
        <x:v>1</x:v>
      </x:c>
      <x:c r="K6" s="11">
        <x:v>46204</x:v>
      </x:c>
      <x:c r="L6" s="14" t="n">
        <x:f>'Tous détail Stocks'!F152+'Tous détail Stocks'!N152+'Tous détail Stocks'!V152+'Tous détail Stocks'!AC152+'Tous détail Stocks'!AJ152+'Tous détail Stocks'!AQ152</x:f>
        <x:v>644825539090.2054</x:v>
      </x:c>
      <x:c r="M6" s="14">
        <x:v>1651213643113.8171</x:v>
      </x:c>
      <x:c r="N6" s="26" t="n">
        <x:f t="shared" ref="N6:N37" si="3">L6+M6</x:f>
        <x:v>2296039182204.0225</x:v>
      </x:c>
    </x:row>
    <x:row r="7">
      <x:c r="B7" s="9">
        <x:v>2</x:v>
      </x:c>
      <x:c r="C7" s="12" t="n">
        <x:f t="shared" ref="C7:C38" si="4">EOMONTH(C6,1)</x:f>
        <x:v>46081</x:v>
      </x:c>
      <x:c r="D7" s="15">
        <x:f t="shared" si="0"/>
        <x:v>1181986935772.2563</x:v>
      </x:c>
      <x:c r="E7" s="18">
        <x:f t="shared" si="1"/>
        <x:v>0.78466314255559177</x:v>
      </x:c>
      <x:c r="F7" s="18">
        <x:f t="shared" si="2"/>
        <x:v>0.21533685744440825</x:v>
      </x:c>
      <x:c r="G7" s="21" t="n">
        <x:f>'Tous détail Stocks'!F147+'Tous détail Stocks'!N147+'Tous détail Stocks'!V147+'Tous détail Stocks'!AC147+'Tous détail Stocks'!AJ147+'Tous détail Stocks'!AQ147</x:f>
        <x:v>927461583482.7131</x:v>
      </x:c>
      <x:c r="H7" s="24" t="n">
        <x:f>'Tous détail Stocks'!G147+'Tous détail Stocks'!O147+'Tous détail Stocks'!W147+'Tous détail Stocks'!AD147+'Tous détail Stocks'!AK147+'Tous détail Stocks'!AR147</x:f>
        <x:v>254525352289.5433</x:v>
      </x:c>
      <x:c r="J7" s="9">
        <x:v>2</x:v>
      </x:c>
      <x:c r="K7" s="12" t="n">
        <x:f>EOMONTH(K6,1)</x:f>
        <x:v>46265</x:v>
      </x:c>
      <x:c r="L7" s="15" t="n">
        <x:f>'Tous détail Stocks'!F153+'Tous détail Stocks'!N153+'Tous détail Stocks'!V153+'Tous détail Stocks'!AC153+'Tous détail Stocks'!AJ153+'Tous détail Stocks'!AQ153</x:f>
        <x:v>615193202183.7444</x:v>
      </x:c>
      <x:c r="M7" s="15">
        <x:v>1435753463341.4937</x:v>
      </x:c>
      <x:c r="N7" s="27">
        <x:f t="shared" si="3"/>
        <x:v>2050946665525.238</x:v>
      </x:c>
    </x:row>
    <x:row r="8">
      <x:c r="B8" s="9">
        <x:v>3</x:v>
      </x:c>
      <x:c r="C8" s="12">
        <x:f t="shared" si="4"/>
        <x:v>46112</x:v>
      </x:c>
      <x:c r="D8" s="15">
        <x:f t="shared" si="0"/>
        <x:v>1181986935772.2563</x:v>
      </x:c>
      <x:c r="E8" s="18">
        <x:f t="shared" si="1"/>
        <x:v>0.71278605817823448</x:v>
      </x:c>
      <x:c r="F8" s="18">
        <x:f t="shared" si="2"/>
        <x:v>0.28721394182176557</x:v>
      </x:c>
      <x:c r="G8" s="21" t="n">
        <x:f>'Tous détail Stocks'!F148+'Tous détail Stocks'!N148+'Tous détail Stocks'!V148+'Tous détail Stocks'!AC148+'Tous détail Stocks'!AJ148+'Tous détail Stocks'!AQ148</x:f>
        <x:v>842503808767.2766</x:v>
      </x:c>
      <x:c r="H8" s="24" t="n">
        <x:f>'Tous détail Stocks'!G148+'Tous détail Stocks'!O148+'Tous détail Stocks'!W148+'Tous détail Stocks'!AD148+'Tous détail Stocks'!AK148+'Tous détail Stocks'!AR148</x:f>
        <x:v>339483127004.9798</x:v>
      </x:c>
      <x:c r="J8" s="9">
        <x:v>3</x:v>
      </x:c>
      <x:c r="K8" s="12" t="n">
        <x:f>EOMONTH(K7,1)</x:f>
        <x:v>46295</x:v>
      </x:c>
      <x:c r="L8" s="15" t="n">
        <x:f>'Tous détail Stocks'!F154+'Tous détail Stocks'!N154+'Tous détail Stocks'!V154+'Tous détail Stocks'!AC154+'Tous détail Stocks'!AJ154+'Tous détail Stocks'!AQ154</x:f>
        <x:v>589890827768.4006</x:v>
      </x:c>
      <x:c r="M8" s="15">
        <x:v>1683964110101.0068</x:v>
      </x:c>
      <x:c r="N8" s="27">
        <x:f t="shared" si="3"/>
        <x:v>2273854937869.4072</x:v>
      </x:c>
    </x:row>
    <x:row r="9">
      <x:c r="B9" s="9">
        <x:v>4</x:v>
      </x:c>
      <x:c r="C9" s="12">
        <x:f t="shared" si="4"/>
        <x:v>46142</x:v>
      </x:c>
      <x:c r="D9" s="15">
        <x:f t="shared" si="0"/>
        <x:v>1181986935772.2563</x:v>
      </x:c>
      <x:c r="E9" s="18">
        <x:f t="shared" si="1"/>
        <x:v>0.65649030774117956</x:v>
      </x:c>
      <x:c r="F9" s="18">
        <x:f t="shared" si="2"/>
        <x:v>0.34350969225882044</x:v>
      </x:c>
      <x:c r="G9" s="21" t="n">
        <x:f>'Tous détail Stocks'!F149+'Tous détail Stocks'!N149+'Tous détail Stocks'!V149+'Tous détail Stocks'!AC149+'Tous détail Stocks'!AJ149+'Tous détail Stocks'!AQ149</x:f>
        <x:v>775962967211.1824</x:v>
      </x:c>
      <x:c r="H9" s="24" t="n">
        <x:f>'Tous détail Stocks'!G149+'Tous détail Stocks'!O149+'Tous détail Stocks'!W149+'Tous détail Stocks'!AD149+'Tous détail Stocks'!AK149+'Tous détail Stocks'!AR149</x:f>
        <x:v>406023968561.0739</x:v>
      </x:c>
      <x:c r="J9" s="9">
        <x:v>4</x:v>
      </x:c>
      <x:c r="K9" s="12">
        <x:v>46326</x:v>
      </x:c>
      <x:c r="L9" s="15" t="n">
        <x:f>'Tous détail Stocks'!F155+'Tous détail Stocks'!N155+'Tous détail Stocks'!V155+'Tous détail Stocks'!AC155+'Tous détail Stocks'!AJ155+'Tous détail Stocks'!AQ155</x:f>
        <x:v>567920707576.0659</x:v>
      </x:c>
      <x:c r="M9" s="15">
        <x:v>1559755085032.1406</x:v>
      </x:c>
      <x:c r="N9" s="27">
        <x:f t="shared" si="3"/>
        <x:v>2127675792608.2065</x:v>
      </x:c>
    </x:row>
    <x:row r="10">
      <x:c r="B10" s="9">
        <x:v>5</x:v>
      </x:c>
      <x:c r="C10" s="12">
        <x:f t="shared" si="4"/>
        <x:v>46173</x:v>
      </x:c>
      <x:c r="D10" s="15">
        <x:f t="shared" si="0"/>
        <x:v>1181986935772.2563</x:v>
      </x:c>
      <x:c r="E10" s="18">
        <x:f t="shared" si="1"/>
        <x:v>0.61169056624532669</x:v>
      </x:c>
      <x:c r="F10" s="18">
        <x:f t="shared" si="2"/>
        <x:v>0.38830943375467331</x:v>
      </x:c>
      <x:c r="G10" s="21" t="n">
        <x:f>'Tous détail Stocks'!F150+'Tous détail Stocks'!N150+'Tous détail Stocks'!V150+'Tous détail Stocks'!AC150+'Tous détail Stocks'!AJ150+'Tous détail Stocks'!AQ150</x:f>
        <x:v>723010258037.1101</x:v>
      </x:c>
      <x:c r="H10" s="24" t="n">
        <x:f>'Tous détail Stocks'!G150+'Tous détail Stocks'!O150+'Tous détail Stocks'!W150+'Tous détail Stocks'!AD150+'Tous détail Stocks'!AK150+'Tous détail Stocks'!AR150</x:f>
        <x:v>458976677735.14624</x:v>
      </x:c>
      <x:c r="J10" s="9">
        <x:v>5</x:v>
      </x:c>
      <x:c r="K10" s="12">
        <x:v>46356</x:v>
      </x:c>
      <x:c r="L10" s="15" t="n">
        <x:f>'Tous détail Stocks'!F156+'Tous détail Stocks'!N156+'Tous détail Stocks'!V156+'Tous détail Stocks'!AC156+'Tous détail Stocks'!AJ156+'Tous détail Stocks'!AQ156</x:f>
        <x:v>548546605124.557</x:v>
      </x:c>
      <x:c r="M10" s="15">
        <x:v>1592485287636.9302</x:v>
      </x:c>
      <x:c r="N10" s="27">
        <x:f t="shared" si="3"/>
        <x:v>2141031892761.4873</x:v>
      </x:c>
    </x:row>
    <x:row r="11">
      <x:c r="B11" s="9">
        <x:v>6</x:v>
      </x:c>
      <x:c r="C11" s="12">
        <x:f t="shared" si="4"/>
        <x:v>46203</x:v>
      </x:c>
      <x:c r="D11" s="15">
        <x:f t="shared" si="0"/>
        <x:v>1181986935772.2563</x:v>
      </x:c>
      <x:c r="E11" s="18">
        <x:f t="shared" si="1"/>
        <x:v>0.57542594656252721</x:v>
      </x:c>
      <x:c r="F11" s="18">
        <x:f t="shared" si="2"/>
        <x:v>0.42457405343747284</x:v>
      </x:c>
      <x:c r="G11" s="21" t="n">
        <x:f>'Tous détail Stocks'!F151+'Tous détail Stocks'!N151+'Tous détail Stocks'!V151+'Tous détail Stocks'!AC151+'Tous détail Stocks'!AJ151+'Tous détail Stocks'!AQ151</x:f>
        <x:v>680145951341.2916</x:v>
      </x:c>
      <x:c r="H11" s="24" t="n">
        <x:f>'Tous détail Stocks'!G151+'Tous détail Stocks'!O151+'Tous détail Stocks'!W151+'Tous détail Stocks'!AD151+'Tous détail Stocks'!AK151+'Tous détail Stocks'!AR151</x:f>
        <x:v>501840984430.9647</x:v>
      </x:c>
      <x:c r="J11" s="9">
        <x:v>6</x:v>
      </x:c>
      <x:c r="K11" s="12">
        <x:v>46387</x:v>
      </x:c>
      <x:c r="L11" s="15" t="n">
        <x:f>'Tous détail Stocks'!F157+'Tous détail Stocks'!N157+'Tous détail Stocks'!V157+'Tous détail Stocks'!AC157+'Tous détail Stocks'!AJ157+'Tous détail Stocks'!AQ157</x:f>
        <x:v>531222351701.7095</x:v>
      </x:c>
      <x:c r="M11" s="15">
        <x:v>1611949377528.658</x:v>
      </x:c>
      <x:c r="N11" s="27">
        <x:f t="shared" si="3"/>
        <x:v>2143171729230.3674</x:v>
      </x:c>
    </x:row>
    <x:row r="12">
      <x:c r="B12" s="9">
        <x:v>7</x:v>
      </x:c>
      <x:c r="C12" s="12">
        <x:f t="shared" si="4"/>
        <x:v>46234</x:v>
      </x:c>
      <x:c r="D12" s="15">
        <x:f t="shared" si="0"/>
        <x:v>1181986935772.2563</x:v>
      </x:c>
      <x:c r="E12" s="18">
        <x:f t="shared" si="1"/>
        <x:v>0.54554371082697783</x:v>
      </x:c>
      <x:c r="F12" s="18">
        <x:f t="shared" si="2"/>
        <x:v>0.45445628917302217</x:v>
      </x:c>
      <x:c r="G12" s="21" t="n">
        <x:f>'Tous détail Stocks'!F152+'Tous détail Stocks'!N152+'Tous détail Stocks'!V152+'Tous détail Stocks'!AC152+'Tous détail Stocks'!AJ152+'Tous détail Stocks'!AQ152</x:f>
        <x:v>644825539090.2054</x:v>
      </x:c>
      <x:c r="H12" s="24" t="n">
        <x:f>'Tous détail Stocks'!G152+'Tous détail Stocks'!O152+'Tous détail Stocks'!W152+'Tous détail Stocks'!AD152+'Tous détail Stocks'!AK152+'Tous détail Stocks'!AR152</x:f>
        <x:v>537161396682.0509</x:v>
      </x:c>
      <x:c r="J12" s="9">
        <x:v>7</x:v>
      </x:c>
      <x:c r="K12" s="12">
        <x:v>46418</x:v>
      </x:c>
      <x:c r="L12" s="15" t="n">
        <x:f>'Tous détail Stocks'!F158+'Tous détail Stocks'!N158+'Tous détail Stocks'!V158+'Tous détail Stocks'!AC158+'Tous détail Stocks'!AJ158+'Tous détail Stocks'!AQ158</x:f>
        <x:v>515540242501.18207</x:v>
      </x:c>
      <x:c r="M12" s="15">
        <x:v>1624675580844.7883</x:v>
      </x:c>
      <x:c r="N12" s="27">
        <x:f t="shared" si="3"/>
        <x:v>2140215823345.9705</x:v>
      </x:c>
    </x:row>
    <x:row r="13">
      <x:c r="B13" s="9">
        <x:v>8</x:v>
      </x:c>
      <x:c r="C13" s="12">
        <x:f t="shared" si="4"/>
        <x:v>46265</x:v>
      </x:c>
      <x:c r="D13" s="15">
        <x:f t="shared" si="0"/>
        <x:v>1181986935772.2563</x:v>
      </x:c>
      <x:c r="E13" s="18">
        <x:f t="shared" si="1"/>
        <x:v>0.52047377476452839</x:v>
      </x:c>
      <x:c r="F13" s="18">
        <x:f t="shared" si="2"/>
        <x:v>0.47952622523547178</x:v>
      </x:c>
      <x:c r="G13" s="21" t="n">
        <x:f>'Tous détail Stocks'!F153+'Tous détail Stocks'!N153+'Tous détail Stocks'!V153+'Tous détail Stocks'!AC153+'Tous détail Stocks'!AJ153+'Tous détail Stocks'!AQ153</x:f>
        <x:v>615193202183.7444</x:v>
      </x:c>
      <x:c r="H13" s="24" t="n">
        <x:f>'Tous détail Stocks'!G153+'Tous détail Stocks'!O153+'Tous détail Stocks'!W153+'Tous détail Stocks'!AD153+'Tous détail Stocks'!AK153+'Tous détail Stocks'!AR153</x:f>
        <x:v>566793733588.5121</x:v>
      </x:c>
      <x:c r="J13" s="9">
        <x:v>8</x:v>
      </x:c>
      <x:c r="K13" s="12">
        <x:v>46446</x:v>
      </x:c>
      <x:c r="L13" s="15" t="n">
        <x:f>'Tous détail Stocks'!F159+'Tous détail Stocks'!N159+'Tous détail Stocks'!V159+'Tous détail Stocks'!AC159+'Tous détail Stocks'!AJ159+'Tous détail Stocks'!AQ159</x:f>
        <x:v>501193697767.8924</x:v>
      </x:c>
      <x:c r="M13" s="15">
        <x:v>1604143827485.2493</x:v>
      </x:c>
      <x:c r="N13" s="27">
        <x:f t="shared" si="3"/>
        <x:v>2105337525253.1416</x:v>
      </x:c>
    </x:row>
    <x:row r="14">
      <x:c r="B14" s="9">
        <x:v>9</x:v>
      </x:c>
      <x:c r="C14" s="12">
        <x:f t="shared" si="4"/>
        <x:v>46295</x:v>
      </x:c>
      <x:c r="D14" s="15">
        <x:f t="shared" si="0"/>
        <x:v>1181986935772.2563</x:v>
      </x:c>
      <x:c r="E14" s="18">
        <x:f t="shared" si="1"/>
        <x:v>0.49906713002965036</x:v>
      </x:c>
      <x:c r="F14" s="18">
        <x:f t="shared" si="2"/>
        <x:v>0.50093286997034958</x:v>
      </x:c>
      <x:c r="G14" s="21" t="n">
        <x:f>'Tous détail Stocks'!F154+'Tous détail Stocks'!N154+'Tous détail Stocks'!V154+'Tous détail Stocks'!AC154+'Tous détail Stocks'!AJ154+'Tous détail Stocks'!AQ154</x:f>
        <x:v>589890827768.4006</x:v>
      </x:c>
      <x:c r="H14" s="24" t="n">
        <x:f>'Tous détail Stocks'!G154+'Tous détail Stocks'!O154+'Tous détail Stocks'!W154+'Tous détail Stocks'!AD154+'Tous détail Stocks'!AK154+'Tous détail Stocks'!AR154</x:f>
        <x:v>592096108003.8556</x:v>
      </x:c>
      <x:c r="J14" s="9">
        <x:v>9</x:v>
      </x:c>
      <x:c r="K14" s="12">
        <x:v>46477</x:v>
      </x:c>
      <x:c r="L14" s="15" t="n">
        <x:f>'Tous détail Stocks'!F160+'Tous détail Stocks'!N160+'Tous détail Stocks'!V160+'Tous détail Stocks'!AC160+'Tous détail Stocks'!AJ160+'Tous détail Stocks'!AQ160</x:f>
        <x:v>487950213360.6089</x:v>
      </x:c>
      <x:c r="M14" s="15">
        <x:v>1562770630209.5688</x:v>
      </x:c>
      <x:c r="N14" s="27">
        <x:f t="shared" si="3"/>
        <x:v>2050720843570.1777</x:v>
      </x:c>
    </x:row>
    <x:row r="15">
      <x:c r="B15" s="9">
        <x:v>10</x:v>
      </x:c>
      <x:c r="C15" s="12">
        <x:f t="shared" si="4"/>
        <x:v>46326</x:v>
      </x:c>
      <x:c r="D15" s="15">
        <x:f t="shared" si="0"/>
        <x:v>1181986935772.2563</x:v>
      </x:c>
      <x:c r="E15" s="18">
        <x:f t="shared" si="1"/>
        <x:v>0.48047968246367495</x:v>
      </x:c>
      <x:c r="F15" s="18">
        <x:f t="shared" si="2"/>
        <x:v>0.51952031753632499</x:v>
      </x:c>
      <x:c r="G15" s="21" t="n">
        <x:f>'Tous détail Stocks'!F155+'Tous détail Stocks'!N155+'Tous détail Stocks'!V155+'Tous détail Stocks'!AC155+'Tous détail Stocks'!AJ155+'Tous détail Stocks'!AQ155</x:f>
        <x:v>567920707576.0659</x:v>
      </x:c>
      <x:c r="H15" s="24" t="n">
        <x:f>'Tous détail Stocks'!G155+'Tous détail Stocks'!O155+'Tous détail Stocks'!W155+'Tous détail Stocks'!AD155+'Tous détail Stocks'!AK155+'Tous détail Stocks'!AR155</x:f>
        <x:v>614066228196.1904</x:v>
      </x:c>
      <x:c r="J15" s="9">
        <x:v>10</x:v>
      </x:c>
      <x:c r="K15" s="12">
        <x:v>46507</x:v>
      </x:c>
      <x:c r="L15" s="15" t="n">
        <x:f>'Tous détail Stocks'!F161+'Tous détail Stocks'!N161+'Tous détail Stocks'!V161+'Tous détail Stocks'!AC161+'Tous détail Stocks'!AJ161+'Tous détail Stocks'!AQ161</x:f>
        <x:v>475631739973.3828</x:v>
      </x:c>
      <x:c r="M15" s="15">
        <x:v>1628853160843.7273</x:v>
      </x:c>
      <x:c r="N15" s="27">
        <x:f t="shared" si="3"/>
        <x:v>2104484900817.1101</x:v>
      </x:c>
    </x:row>
    <x:row r="16">
      <x:c r="B16" s="9">
        <x:v>11</x:v>
      </x:c>
      <x:c r="C16" s="12">
        <x:f t="shared" si="4"/>
        <x:v>46356</x:v>
      </x:c>
      <x:c r="D16" s="15">
        <x:f t="shared" si="0"/>
        <x:v>1181986935772.2563</x:v>
      </x:c>
      <x:c r="E16" s="18">
        <x:f t="shared" si="1"/>
        <x:v>0.46408855167774055</x:v>
      </x:c>
      <x:c r="F16" s="18">
        <x:f t="shared" si="2"/>
        <x:v>0.53591144832225945</x:v>
      </x:c>
      <x:c r="G16" s="21" t="n">
        <x:f>'Tous détail Stocks'!F156+'Tous détail Stocks'!N156+'Tous détail Stocks'!V156+'Tous détail Stocks'!AC156+'Tous détail Stocks'!AJ156+'Tous détail Stocks'!AQ156</x:f>
        <x:v>548546605124.557</x:v>
      </x:c>
      <x:c r="H16" s="24" t="n">
        <x:f>'Tous détail Stocks'!G156+'Tous détail Stocks'!O156+'Tous détail Stocks'!W156+'Tous détail Stocks'!AD156+'Tous détail Stocks'!AK156+'Tous détail Stocks'!AR156</x:f>
        <x:v>633440330647.6993</x:v>
      </x:c>
      <x:c r="J16" s="9">
        <x:v>11</x:v>
      </x:c>
      <x:c r="K16" s="12">
        <x:v>46538</x:v>
      </x:c>
      <x:c r="L16" s="15" t="n">
        <x:f>'Tous détail Stocks'!F162+'Tous détail Stocks'!N162+'Tous détail Stocks'!V162+'Tous détail Stocks'!AC162+'Tous détail Stocks'!AJ162+'Tous détail Stocks'!AQ162</x:f>
        <x:v>464100429921.1066</x:v>
      </x:c>
      <x:c r="M16" s="15">
        <x:v>1581125511454.1072</x:v>
      </x:c>
      <x:c r="N16" s="27">
        <x:f t="shared" si="3"/>
        <x:v>2045225941375.2139</x:v>
      </x:c>
    </x:row>
    <x:row r="17">
      <x:c r="B17" s="9">
        <x:v>12</x:v>
      </x:c>
      <x:c r="C17" s="12">
        <x:f t="shared" si="4"/>
        <x:v>46387</x:v>
      </x:c>
      <x:c r="D17" s="15">
        <x:f t="shared" si="0"/>
        <x:v>1181986935772.2563</x:v>
      </x:c>
      <x:c r="E17" s="18">
        <x:f t="shared" si="1"/>
        <x:v>0.4494316608961782</x:v>
      </x:c>
      <x:c r="F17" s="18">
        <x:f t="shared" si="2"/>
        <x:v>0.55056833910382186</x:v>
      </x:c>
      <x:c r="G17" s="21" t="n">
        <x:f>'Tous détail Stocks'!F157+'Tous détail Stocks'!N157+'Tous détail Stocks'!V157+'Tous détail Stocks'!AC157+'Tous détail Stocks'!AJ157+'Tous détail Stocks'!AQ157</x:f>
        <x:v>531222351701.7095</x:v>
      </x:c>
      <x:c r="H17" s="24" t="n">
        <x:f>'Tous détail Stocks'!G157+'Tous détail Stocks'!O157+'Tous détail Stocks'!W157+'Tous détail Stocks'!AD157+'Tous détail Stocks'!AK157+'Tous détail Stocks'!AR157</x:f>
        <x:v>650764584070.5469</x:v>
      </x:c>
      <x:c r="J17" s="9">
        <x:v>12</x:v>
      </x:c>
      <x:c r="K17" s="12">
        <x:v>46568</x:v>
      </x:c>
      <x:c r="L17" s="15" t="n">
        <x:f>'Tous détail Stocks'!F163+'Tous détail Stocks'!N163+'Tous détail Stocks'!V163+'Tous détail Stocks'!AC163+'Tous détail Stocks'!AJ163+'Tous détail Stocks'!AQ163</x:f>
        <x:v>453248265236.63184</x:v>
      </x:c>
      <x:c r="M17" s="15">
        <x:v>2012278931130.4207</x:v>
      </x:c>
      <x:c r="N17" s="27">
        <x:f t="shared" si="3"/>
        <x:v>2465527196367.0527</x:v>
      </x:c>
    </x:row>
    <x:row r="18">
      <x:c r="B18" s="9">
        <x:v>13</x:v>
      </x:c>
      <x:c r="C18" s="12">
        <x:f t="shared" si="4"/>
        <x:v>46418</x:v>
      </x:c>
      <x:c r="D18" s="15">
        <x:f t="shared" si="0"/>
        <x:v>1181986935772.2563</x:v>
      </x:c>
      <x:c r="E18" s="18">
        <x:f t="shared" si="1"/>
        <x:v>0.43616407838243287</x:v>
      </x:c>
      <x:c r="F18" s="18">
        <x:f t="shared" si="2"/>
        <x:v>0.56383592161756713</x:v>
      </x:c>
      <x:c r="G18" s="21" t="n">
        <x:f>'Tous détail Stocks'!F158+'Tous détail Stocks'!N158+'Tous détail Stocks'!V158+'Tous détail Stocks'!AC158+'Tous détail Stocks'!AJ158+'Tous détail Stocks'!AQ158</x:f>
        <x:v>515540242501.18207</x:v>
      </x:c>
      <x:c r="H18" s="24" t="n">
        <x:f>'Tous détail Stocks'!G158+'Tous détail Stocks'!O158+'Tous détail Stocks'!W158+'Tous détail Stocks'!AD158+'Tous détail Stocks'!AK158+'Tous détail Stocks'!AR158</x:f>
        <x:v>666446693271.0743</x:v>
      </x:c>
      <x:c r="J18" s="9">
        <x:v>13</x:v>
      </x:c>
      <x:c r="K18" s="12">
        <x:v>46599</x:v>
      </x:c>
      <x:c r="L18" s="15" t="n">
        <x:f>'Tous détail Stocks'!F164+'Tous détail Stocks'!N164+'Tous détail Stocks'!V164+'Tous détail Stocks'!AC164+'Tous détail Stocks'!AJ164+'Tous détail Stocks'!AQ164</x:f>
        <x:v>442989494634.4753</x:v>
      </x:c>
      <x:c r="M18" s="15">
        <x:v>1689324983785.6802</x:v>
      </x:c>
      <x:c r="N18" s="27">
        <x:f t="shared" si="3"/>
        <x:v>2132314478420.1555</x:v>
      </x:c>
    </x:row>
    <x:row r="19">
      <x:c r="B19" s="9">
        <x:v>14</x:v>
      </x:c>
      <x:c r="C19" s="12">
        <x:f t="shared" si="4"/>
        <x:v>46446</x:v>
      </x:c>
      <x:c r="D19" s="15">
        <x:f t="shared" si="0"/>
        <x:v>1181986935772.2563</x:v>
      </x:c>
      <x:c r="E19" s="18">
        <x:f t="shared" si="1"/>
        <x:v>0.42402642753444247</x:v>
      </x:c>
      <x:c r="F19" s="18">
        <x:f t="shared" si="2"/>
        <x:v>0.57597357246555758</x:v>
      </x:c>
      <x:c r="G19" s="21" t="n">
        <x:f>'Tous détail Stocks'!F159+'Tous détail Stocks'!N159+'Tous détail Stocks'!V159+'Tous détail Stocks'!AC159+'Tous détail Stocks'!AJ159+'Tous détail Stocks'!AQ159</x:f>
        <x:v>501193697767.8924</x:v>
      </x:c>
      <x:c r="H19" s="24" t="n">
        <x:f>'Tous détail Stocks'!G159+'Tous détail Stocks'!O159+'Tous détail Stocks'!W159+'Tous détail Stocks'!AD159+'Tous détail Stocks'!AK159+'Tous détail Stocks'!AR159</x:f>
        <x:v>680793238004.364</x:v>
      </x:c>
      <x:c r="J19" s="9">
        <x:v>14</x:v>
      </x:c>
      <x:c r="K19" s="12">
        <x:v>46630</x:v>
      </x:c>
      <x:c r="L19" s="15" t="n">
        <x:f>'Tous détail Stocks'!F165+'Tous détail Stocks'!N165+'Tous détail Stocks'!V165+'Tous détail Stocks'!AC165+'Tous détail Stocks'!AJ165+'Tous détail Stocks'!AQ165</x:f>
        <x:v>433255105058.04425</x:v>
      </x:c>
      <x:c r="M19" s="15">
        <x:v>1456522633034.7046</x:v>
      </x:c>
      <x:c r="N19" s="27">
        <x:f t="shared" si="3"/>
        <x:v>1889777738092.7488</x:v>
      </x:c>
    </x:row>
    <x:row r="20">
      <x:c r="B20" s="9">
        <x:v>15</x:v>
      </x:c>
      <x:c r="C20" s="12">
        <x:f t="shared" si="4"/>
        <x:v>46477</x:v>
      </x:c>
      <x:c r="D20" s="15">
        <x:f t="shared" si="0"/>
        <x:v>1181986935772.2563</x:v>
      </x:c>
      <x:c r="E20" s="18">
        <x:f t="shared" si="1"/>
        <x:v>0.41282200216688897</x:v>
      </x:c>
      <x:c r="F20" s="18">
        <x:f t="shared" si="2"/>
        <x:v>0.58717799783311098</x:v>
      </x:c>
      <x:c r="G20" s="21" t="n">
        <x:f>'Tous détail Stocks'!F160+'Tous détail Stocks'!N160+'Tous détail Stocks'!V160+'Tous détail Stocks'!AC160+'Tous détail Stocks'!AJ160+'Tous détail Stocks'!AQ160</x:f>
        <x:v>487950213360.6089</x:v>
      </x:c>
      <x:c r="H20" s="24" t="n">
        <x:f>'Tous détail Stocks'!G160+'Tous détail Stocks'!O160+'Tous détail Stocks'!W160+'Tous détail Stocks'!AD160+'Tous détail Stocks'!AK160+'Tous détail Stocks'!AR160</x:f>
        <x:v>694036722411.6475</x:v>
      </x:c>
      <x:c r="J20" s="9">
        <x:v>15</x:v>
      </x:c>
      <x:c r="K20" s="12">
        <x:v>46660</x:v>
      </x:c>
      <x:c r="L20" s="15" t="n">
        <x:f>'Tous détail Stocks'!F166+'Tous détail Stocks'!N166+'Tous détail Stocks'!V166+'Tous détail Stocks'!AC166+'Tous détail Stocks'!AJ166+'Tous détail Stocks'!AQ166</x:f>
        <x:v>423988768502.03375</x:v>
      </x:c>
      <x:c r="M20" s="15">
        <x:v>1693891126594.2407</x:v>
      </x:c>
      <x:c r="N20" s="27">
        <x:f t="shared" si="3"/>
        <x:v>2117879895096.2744</x:v>
      </x:c>
    </x:row>
    <x:row r="21">
      <x:c r="B21" s="9">
        <x:v>16</x:v>
      </x:c>
      <x:c r="C21" s="12">
        <x:f t="shared" si="4"/>
        <x:v>46507</x:v>
      </x:c>
      <x:c r="D21" s="15">
        <x:f t="shared" si="0"/>
        <x:v>1181986935772.2563</x:v>
      </x:c>
      <x:c r="E21" s="18">
        <x:f t="shared" si="1"/>
        <x:v>0.40240016668426776</x:v>
      </x:c>
      <x:c r="F21" s="18">
        <x:f t="shared" si="2"/>
        <x:v>0.59759983331573241</x:v>
      </x:c>
      <x:c r="G21" s="21" t="n">
        <x:f>'Tous détail Stocks'!F161+'Tous détail Stocks'!N161+'Tous détail Stocks'!V161+'Tous détail Stocks'!AC161+'Tous détail Stocks'!AJ161+'Tous détail Stocks'!AQ161</x:f>
        <x:v>475631739973.3828</x:v>
      </x:c>
      <x:c r="H21" s="24" t="n">
        <x:f>'Tous détail Stocks'!G161+'Tous détail Stocks'!O161+'Tous détail Stocks'!W161+'Tous détail Stocks'!AD161+'Tous détail Stocks'!AK161+'Tous détail Stocks'!AR161</x:f>
        <x:v>706355195798.8737</x:v>
      </x:c>
      <x:c r="J21" s="9">
        <x:v>16</x:v>
      </x:c>
      <x:c r="K21" s="12">
        <x:v>46691</x:v>
      </x:c>
      <x:c r="L21" s="15" t="n">
        <x:f>'Tous détail Stocks'!F167+'Tous détail Stocks'!N167+'Tous détail Stocks'!V167+'Tous détail Stocks'!AC167+'Tous détail Stocks'!AJ167+'Tous détail Stocks'!AQ167</x:f>
        <x:v>415143859873.9057</x:v>
      </x:c>
      <x:c r="M21" s="15">
        <x:v>1579547777437.6484</x:v>
      </x:c>
      <x:c r="N21" s="27">
        <x:f t="shared" si="3"/>
        <x:v>1994691637311.5542</x:v>
      </x:c>
    </x:row>
    <x:row r="22">
      <x:c r="B22" s="9">
        <x:v>17</x:v>
      </x:c>
      <x:c r="C22" s="12">
        <x:f t="shared" si="4"/>
        <x:v>46538</x:v>
      </x:c>
      <x:c r="D22" s="15">
        <x:f t="shared" si="0"/>
        <x:v>1181986935772.2563</x:v>
      </x:c>
      <x:c r="E22" s="18">
        <x:f t="shared" si="1"/>
        <x:v>0.3926442973905499</x:v>
      </x:c>
      <x:c r="F22" s="18">
        <x:f t="shared" si="2"/>
        <x:v>0.60735570260945004</x:v>
      </x:c>
      <x:c r="G22" s="21" t="n">
        <x:f>'Tous détail Stocks'!F162+'Tous détail Stocks'!N162+'Tous détail Stocks'!V162+'Tous détail Stocks'!AC162+'Tous détail Stocks'!AJ162+'Tous détail Stocks'!AQ162</x:f>
        <x:v>464100429921.1066</x:v>
      </x:c>
      <x:c r="H22" s="24" t="n">
        <x:f>'Tous détail Stocks'!G162+'Tous détail Stocks'!O162+'Tous détail Stocks'!W162+'Tous détail Stocks'!AD162+'Tous détail Stocks'!AK162+'Tous détail Stocks'!AR162</x:f>
        <x:v>717886505851.1497</x:v>
      </x:c>
      <x:c r="J22" s="9">
        <x:v>17</x:v>
      </x:c>
      <x:c r="K22" s="12">
        <x:v>46721</x:v>
      </x:c>
      <x:c r="L22" s="15" t="n">
        <x:f>'Tous détail Stocks'!F168+'Tous détail Stocks'!N168+'Tous détail Stocks'!V168+'Tous détail Stocks'!AC168+'Tous détail Stocks'!AJ168+'Tous détail Stocks'!AQ168</x:f>
        <x:v>406681253564.94965</x:v>
      </x:c>
      <x:c r="M22" s="15">
        <x:v>1611756332416.2793</x:v>
      </x:c>
      <x:c r="N22" s="27">
        <x:f t="shared" si="3"/>
        <x:v>2018437585981.229</x:v>
      </x:c>
    </x:row>
    <x:row r="23">
      <x:c r="B23" s="9">
        <x:v>18</x:v>
      </x:c>
      <x:c r="C23" s="12">
        <x:f t="shared" si="4"/>
        <x:v>46568</x:v>
      </x:c>
      <x:c r="D23" s="15">
        <x:f t="shared" si="0"/>
        <x:v>1181986935772.2563</x:v>
      </x:c>
      <x:c r="E23" s="18">
        <x:f t="shared" si="1"/>
        <x:v>0.38346300751666101</x:v>
      </x:c>
      <x:c r="F23" s="18">
        <x:f t="shared" si="2"/>
        <x:v>0.61653699248333893</x:v>
      </x:c>
      <x:c r="G23" s="21" t="n">
        <x:f>'Tous détail Stocks'!F163+'Tous détail Stocks'!N163+'Tous détail Stocks'!V163+'Tous détail Stocks'!AC163+'Tous détail Stocks'!AJ163+'Tous détail Stocks'!AQ163</x:f>
        <x:v>453248265236.63184</x:v>
      </x:c>
      <x:c r="H23" s="24" t="n">
        <x:f>'Tous détail Stocks'!G163+'Tous détail Stocks'!O163+'Tous détail Stocks'!W163+'Tous détail Stocks'!AD163+'Tous détail Stocks'!AK163+'Tous détail Stocks'!AR163</x:f>
        <x:v>728738670535.6244</x:v>
      </x:c>
      <x:c r="J23" s="9">
        <x:v>18</x:v>
      </x:c>
      <x:c r="K23" s="12">
        <x:v>46752</x:v>
      </x:c>
      <x:c r="L23" s="15" t="n">
        <x:f>'Tous détail Stocks'!F169+'Tous détail Stocks'!N169+'Tous détail Stocks'!V169+'Tous détail Stocks'!AC169+'Tous détail Stocks'!AJ169+'Tous détail Stocks'!AQ169</x:f>
        <x:v>398567687187.6435</x:v>
      </x:c>
      <x:c r="M23" s="15">
        <x:v>1631262865736.187</x:v>
      </x:c>
      <x:c r="N23" s="27">
        <x:f t="shared" si="3"/>
        <x:v>2029830552923.8306</x:v>
      </x:c>
    </x:row>
    <x:row r="24">
      <x:c r="B24" s="9">
        <x:v>19</x:v>
      </x:c>
      <x:c r="C24" s="12">
        <x:f t="shared" si="4"/>
        <x:v>46599</x:v>
      </x:c>
      <x:c r="D24" s="15">
        <x:f t="shared" si="0"/>
        <x:v>1181986935772.2563</x:v>
      </x:c>
      <x:c r="E24" s="18">
        <x:f t="shared" si="1"/>
        <x:v>0.3747837486418969</x:v>
      </x:c>
      <x:c r="F24" s="18">
        <x:f t="shared" si="2"/>
        <x:v>0.62521625135810299</x:v>
      </x:c>
      <x:c r="G24" s="21" t="n">
        <x:f>'Tous détail Stocks'!F164+'Tous détail Stocks'!N164+'Tous détail Stocks'!V164+'Tous détail Stocks'!AC164+'Tous détail Stocks'!AJ164+'Tous détail Stocks'!AQ164</x:f>
        <x:v>442989494634.4753</x:v>
      </x:c>
      <x:c r="H24" s="24" t="n">
        <x:f>'Tous détail Stocks'!G164+'Tous détail Stocks'!O164+'Tous détail Stocks'!W164+'Tous détail Stocks'!AD164+'Tous détail Stocks'!AK164+'Tous détail Stocks'!AR164</x:f>
        <x:v>738997441137.781</x:v>
      </x:c>
      <x:c r="J24" s="9">
        <x:v>19</x:v>
      </x:c>
      <x:c r="K24" s="12" t="n">
        <x:f>EOMONTH(K23,1)</x:f>
        <x:v>46783</x:v>
      </x:c>
      <x:c r="L24" s="15" t="n">
        <x:f>'Tous détail Stocks'!F170+'Tous détail Stocks'!N170+'Tous détail Stocks'!V170+'Tous détail Stocks'!AC170+'Tous détail Stocks'!AJ170+'Tous détail Stocks'!AQ170</x:f>
        <x:v>390774539277.81604</x:v>
      </x:c>
      <x:c r="M24" s="15">
        <x:v>1645633244347.311</x:v>
      </x:c>
      <x:c r="N24" s="27">
        <x:f t="shared" si="3"/>
        <x:v>2036407783625.127</x:v>
      </x:c>
    </x:row>
    <x:row r="25">
      <x:c r="B25" s="9">
        <x:v>20</x:v>
      </x:c>
      <x:c r="C25" s="12">
        <x:f t="shared" si="4"/>
        <x:v>46630</x:v>
      </x:c>
      <x:c r="D25" s="15">
        <x:f t="shared" si="0"/>
        <x:v>1181986935772.2563</x:v>
      </x:c>
      <x:c r="E25" s="18">
        <x:f t="shared" si="1"/>
        <x:v>0.36654813344021869</x:v>
      </x:c>
      <x:c r="F25" s="18">
        <x:f t="shared" si="2"/>
        <x:v>0.63345186655978125</x:v>
      </x:c>
      <x:c r="G25" s="21" t="n">
        <x:f>'Tous détail Stocks'!F165+'Tous détail Stocks'!N165+'Tous détail Stocks'!V165+'Tous détail Stocks'!AC165+'Tous détail Stocks'!AJ165+'Tous détail Stocks'!AQ165</x:f>
        <x:v>433255105058.04425</x:v>
      </x:c>
      <x:c r="H25" s="24" t="n">
        <x:f>'Tous détail Stocks'!G165+'Tous détail Stocks'!O165+'Tous détail Stocks'!W165+'Tous détail Stocks'!AD165+'Tous détail Stocks'!AK165+'Tous détail Stocks'!AR165</x:f>
        <x:v>748731830714.212</x:v>
      </x:c>
      <x:c r="J25" s="9">
        <x:v>20</x:v>
      </x:c>
      <x:c r="K25" s="12">
        <x:v>46812</x:v>
      </x:c>
      <x:c r="L25" s="15" t="n">
        <x:f>'Tous détail Stocks'!F171+'Tous détail Stocks'!N171+'Tous détail Stocks'!V171+'Tous détail Stocks'!AC171+'Tous détail Stocks'!AJ171+'Tous détail Stocks'!AQ171</x:f>
        <x:v>383276909909.82996</x:v>
      </x:c>
      <x:c r="M25" s="15">
        <x:v>1624173185515.9675</x:v>
      </x:c>
      <x:c r="N25" s="27">
        <x:f t="shared" si="3"/>
        <x:v>2007450095425.7974</x:v>
      </x:c>
    </x:row>
    <x:row r="26">
      <x:c r="B26" s="9">
        <x:v>21</x:v>
      </x:c>
      <x:c r="C26" s="12">
        <x:f t="shared" si="4"/>
        <x:v>46660</x:v>
      </x:c>
      <x:c r="D26" s="15">
        <x:f t="shared" si="0"/>
        <x:v>1181986935772.2563</x:v>
      </x:c>
      <x:c r="E26" s="18">
        <x:f t="shared" si="1"/>
        <x:v>0.35870850655808545</x:v>
      </x:c>
      <x:c r="F26" s="18">
        <x:f t="shared" si="2"/>
        <x:v>0.64129149344191461</x:v>
      </x:c>
      <x:c r="G26" s="21" t="n">
        <x:f>'Tous détail Stocks'!F166+'Tous détail Stocks'!N166+'Tous détail Stocks'!V166+'Tous détail Stocks'!AC166+'Tous détail Stocks'!AJ166+'Tous détail Stocks'!AQ166</x:f>
        <x:v>423988768502.03375</x:v>
      </x:c>
      <x:c r="H26" s="24" t="n">
        <x:f>'Tous détail Stocks'!G166+'Tous détail Stocks'!O166+'Tous détail Stocks'!W166+'Tous détail Stocks'!AD166+'Tous détail Stocks'!AK166+'Tous détail Stocks'!AR166</x:f>
        <x:v>757998167270.2227</x:v>
      </x:c>
      <x:c r="J26" s="9">
        <x:v>21</x:v>
      </x:c>
      <x:c r="K26" s="12">
        <x:v>46843</x:v>
      </x:c>
      <x:c r="L26" s="15" t="n">
        <x:f>'Tous détail Stocks'!F172+'Tous détail Stocks'!N172+'Tous détail Stocks'!V172+'Tous détail Stocks'!AC172+'Tous détail Stocks'!AJ172+'Tous détail Stocks'!AQ172</x:f>
        <x:v>376052923638.16815</x:v>
      </x:c>
      <x:c r="M26" s="15">
        <x:v>1588034566821.9883</x:v>
      </x:c>
      <x:c r="N26" s="27">
        <x:f t="shared" si="3"/>
        <x:v>1964087490460.1565</x:v>
      </x:c>
    </x:row>
    <x:row r="27">
      <x:c r="B27" s="9">
        <x:v>22</x:v>
      </x:c>
      <x:c r="C27" s="12">
        <x:f t="shared" si="4"/>
        <x:v>46691</x:v>
      </x:c>
      <x:c r="D27" s="15">
        <x:f t="shared" si="0"/>
        <x:v>1181986935772.2563</x:v>
      </x:c>
      <x:c r="E27" s="18">
        <x:f t="shared" si="1"/>
        <x:v>0.35122542162673703</x:v>
      </x:c>
      <x:c r="F27" s="18">
        <x:f t="shared" si="2"/>
        <x:v>0.64877457837326291</x:v>
      </x:c>
      <x:c r="G27" s="21" t="n">
        <x:f>'Tous détail Stocks'!F167+'Tous détail Stocks'!N167+'Tous détail Stocks'!V167+'Tous détail Stocks'!AC167+'Tous détail Stocks'!AJ167+'Tous détail Stocks'!AQ167</x:f>
        <x:v>415143859873.9057</x:v>
      </x:c>
      <x:c r="H27" s="24" t="n">
        <x:f>'Tous détail Stocks'!G167+'Tous détail Stocks'!O167+'Tous détail Stocks'!W167+'Tous détail Stocks'!AD167+'Tous détail Stocks'!AK167+'Tous détail Stocks'!AR167</x:f>
        <x:v>766843075898.3506</x:v>
      </x:c>
      <x:c r="J27" s="9">
        <x:v>22</x:v>
      </x:c>
      <x:c r="K27" s="12">
        <x:v>46873</x:v>
      </x:c>
      <x:c r="L27" s="15" t="n">
        <x:f>'Tous détail Stocks'!F173+'Tous détail Stocks'!N173+'Tous détail Stocks'!V173+'Tous détail Stocks'!AC173+'Tous détail Stocks'!AJ173+'Tous détail Stocks'!AQ173</x:f>
        <x:v>369083196209.9078</x:v>
      </x:c>
      <x:c r="M27" s="15">
        <x:v>1649908061580.4573</x:v>
      </x:c>
      <x:c r="N27" s="27">
        <x:f t="shared" si="3"/>
        <x:v>2018991257790.365</x:v>
      </x:c>
    </x:row>
    <x:row r="28">
      <x:c r="B28" s="9">
        <x:v>23</x:v>
      </x:c>
      <x:c r="C28" s="12">
        <x:f t="shared" si="4"/>
        <x:v>46721</x:v>
      </x:c>
      <x:c r="D28" s="15">
        <x:f t="shared" si="0"/>
        <x:v>1181986935772.2563</x:v>
      </x:c>
      <x:c r="E28" s="18">
        <x:f t="shared" si="1"/>
        <x:v>0.34406577708851127</x:v>
      </x:c>
      <x:c r="F28" s="18">
        <x:f t="shared" si="2"/>
        <x:v>0.65593422291148873</x:v>
      </x:c>
      <x:c r="G28" s="21" t="n">
        <x:f>'Tous détail Stocks'!F168+'Tous détail Stocks'!N168+'Tous détail Stocks'!V168+'Tous détail Stocks'!AC168+'Tous détail Stocks'!AJ168+'Tous détail Stocks'!AQ168</x:f>
        <x:v>406681253564.94965</x:v>
      </x:c>
      <x:c r="H28" s="24" t="n">
        <x:f>'Tous détail Stocks'!G168+'Tous détail Stocks'!O168+'Tous détail Stocks'!W168+'Tous détail Stocks'!AD168+'Tous détail Stocks'!AK168+'Tous détail Stocks'!AR168</x:f>
        <x:v>775305682207.3068</x:v>
      </x:c>
      <x:c r="J28" s="9">
        <x:v>23</x:v>
      </x:c>
      <x:c r="K28" s="12">
        <x:v>46904</x:v>
      </x:c>
      <x:c r="L28" s="15" t="n">
        <x:f>'Tous détail Stocks'!F174+'Tous détail Stocks'!N174+'Tous détail Stocks'!V174+'Tous détail Stocks'!AC174+'Tous détail Stocks'!AJ174+'Tous détail Stocks'!AQ174</x:f>
        <x:v>362350422434.1251</x:v>
      </x:c>
      <x:c r="M28" s="15">
        <x:v>1603988841092.3665</x:v>
      </x:c>
      <x:c r="N28" s="27">
        <x:f t="shared" si="3"/>
        <x:v>1966339263526.4917</x:v>
      </x:c>
    </x:row>
    <x:row r="29">
      <x:c r="B29" s="9">
        <x:v>24</x:v>
      </x:c>
      <x:c r="C29" s="12">
        <x:f t="shared" si="4"/>
        <x:v>46752</x:v>
      </x:c>
      <x:c r="D29" s="15">
        <x:f t="shared" si="0"/>
        <x:v>1181986935772.2563</x:v>
      </x:c>
      <x:c r="E29" s="18">
        <x:f t="shared" si="1"/>
        <x:v>0.33720143186458956</x:v>
      </x:c>
      <x:c r="F29" s="18">
        <x:f t="shared" si="2"/>
        <x:v>0.66279856813541049</x:v>
      </x:c>
      <x:c r="G29" s="21" t="n">
        <x:f>'Tous détail Stocks'!F169+'Tous détail Stocks'!N169+'Tous détail Stocks'!V169+'Tous détail Stocks'!AC169+'Tous détail Stocks'!AJ169+'Tous détail Stocks'!AQ169</x:f>
        <x:v>398567687187.6435</x:v>
      </x:c>
      <x:c r="H29" s="24" t="n">
        <x:f>'Tous détail Stocks'!G169+'Tous détail Stocks'!O169+'Tous détail Stocks'!W169+'Tous détail Stocks'!AD169+'Tous détail Stocks'!AK169+'Tous détail Stocks'!AR169</x:f>
        <x:v>783419248584.6129</x:v>
      </x:c>
      <x:c r="J29" s="9">
        <x:v>24</x:v>
      </x:c>
      <x:c r="K29" s="12">
        <x:v>46934</x:v>
      </x:c>
      <x:c r="L29" s="15" t="n">
        <x:f>'Tous détail Stocks'!F175+'Tous détail Stocks'!N175+'Tous détail Stocks'!V175+'Tous détail Stocks'!AC175+'Tous détail Stocks'!AJ175+'Tous détail Stocks'!AQ175</x:f>
        <x:v>355839054137.72296</x:v>
      </x:c>
      <x:c r="M29" s="15">
        <x:v>2032782728154.6912</x:v>
      </x:c>
      <x:c r="N29" s="27">
        <x:f t="shared" si="3"/>
        <x:v>2388621782292.4141</x:v>
      </x:c>
    </x:row>
    <x:row r="30">
      <x:c r="B30" s="9">
        <x:v>25</x:v>
      </x:c>
      <x:c r="C30" s="12">
        <x:f t="shared" si="4"/>
        <x:v>46783</x:v>
      </x:c>
      <x:c r="D30" s="15">
        <x:f t="shared" si="0"/>
        <x:v>1181986935772.2563</x:v>
      </x:c>
      <x:c r="E30" s="18">
        <x:f t="shared" si="1"/>
        <x:v>0.33060817125064229</x:v>
      </x:c>
      <x:c r="F30" s="18">
        <x:f t="shared" si="2"/>
        <x:v>0.66939182874935765</x:v>
      </x:c>
      <x:c r="G30" s="21" t="n">
        <x:f>'Tous détail Stocks'!F170+'Tous détail Stocks'!N170+'Tous détail Stocks'!V170+'Tous détail Stocks'!AC170+'Tous détail Stocks'!AJ170+'Tous détail Stocks'!AQ170</x:f>
        <x:v>390774539277.81604</x:v>
      </x:c>
      <x:c r="H30" s="24" t="n">
        <x:f>'Tous détail Stocks'!G170+'Tous détail Stocks'!O170+'Tous détail Stocks'!W170+'Tous détail Stocks'!AD170+'Tous détail Stocks'!AK170+'Tous détail Stocks'!AR170</x:f>
        <x:v>791212396494.4402</x:v>
      </x:c>
      <x:c r="J30" s="9">
        <x:v>25</x:v>
      </x:c>
      <x:c r="K30" s="12">
        <x:v>46965</x:v>
      </x:c>
      <x:c r="L30" s="15" t="n">
        <x:f>'Tous détail Stocks'!F176+'Tous détail Stocks'!N176+'Tous détail Stocks'!V176+'Tous détail Stocks'!AC176+'Tous détail Stocks'!AJ176+'Tous détail Stocks'!AQ176</x:f>
        <x:v>349535045502.9752</x:v>
      </x:c>
      <x:c r="M30" s="15">
        <x:v>1709661712101.8977</x:v>
      </x:c>
      <x:c r="N30" s="27">
        <x:f t="shared" si="3"/>
        <x:v>2059196757604.873</x:v>
      </x:c>
    </x:row>
    <x:row r="31">
      <x:c r="B31" s="9">
        <x:v>26</x:v>
      </x:c>
      <x:c r="C31" s="12">
        <x:f t="shared" si="4"/>
        <x:v>46812</x:v>
      </x:c>
      <x:c r="D31" s="15">
        <x:f t="shared" si="0"/>
        <x:v>1181986935772.2563</x:v>
      </x:c>
      <x:c r="E31" s="18">
        <x:f t="shared" si="1"/>
        <x:v>0.32426492908689747</x:v>
      </x:c>
      <x:c r="F31" s="18">
        <x:f t="shared" si="2"/>
        <x:v>0.67573507091310248</x:v>
      </x:c>
      <x:c r="G31" s="21" t="n">
        <x:f>'Tous détail Stocks'!F171+'Tous détail Stocks'!N171+'Tous détail Stocks'!V171+'Tous détail Stocks'!AC171+'Tous détail Stocks'!AJ171+'Tous détail Stocks'!AQ171</x:f>
        <x:v>383276909909.82996</x:v>
      </x:c>
      <x:c r="H31" s="24" t="n">
        <x:f>'Tous détail Stocks'!G171+'Tous détail Stocks'!O171+'Tous détail Stocks'!W171+'Tous détail Stocks'!AD171+'Tous détail Stocks'!AK171+'Tous détail Stocks'!AR171</x:f>
        <x:v>798710025862.4264</x:v>
      </x:c>
      <x:c r="J31" s="9">
        <x:v>26</x:v>
      </x:c>
      <x:c r="K31" s="12">
        <x:v>46996</x:v>
      </x:c>
      <x:c r="L31" s="15" t="n">
        <x:f>'Tous détail Stocks'!F177+'Tous détail Stocks'!N177+'Tous détail Stocks'!V177+'Tous détail Stocks'!AC177+'Tous détail Stocks'!AJ177+'Tous détail Stocks'!AQ177</x:f>
        <x:v>343425649151.1002</x:v>
      </x:c>
      <x:c r="M31" s="15">
        <x:v>1477254649230.032</x:v>
      </x:c>
      <x:c r="N31" s="27">
        <x:f t="shared" si="3"/>
        <x:v>1820680298381.1323</x:v>
      </x:c>
    </x:row>
    <x:row r="32">
      <x:c r="B32" s="9">
        <x:v>27</x:v>
      </x:c>
      <x:c r="C32" s="12">
        <x:f t="shared" si="4"/>
        <x:v>46843</x:v>
      </x:c>
      <x:c r="D32" s="15">
        <x:f t="shared" si="0"/>
        <x:v>1181986935772.2563</x:v>
      </x:c>
      <x:c r="E32" s="18">
        <x:f t="shared" si="1"/>
        <x:v>0.31815319802369246</x:v>
      </x:c>
      <x:c r="F32" s="18">
        <x:f t="shared" si="2"/>
        <x:v>0.68184680197630754</x:v>
      </x:c>
      <x:c r="G32" s="21" t="n">
        <x:f>'Tous détail Stocks'!F172+'Tous détail Stocks'!N172+'Tous détail Stocks'!V172+'Tous détail Stocks'!AC172+'Tous détail Stocks'!AJ172+'Tous détail Stocks'!AQ172</x:f>
        <x:v>376052923638.16815</x:v>
      </x:c>
      <x:c r="H32" s="24" t="n">
        <x:f>'Tous détail Stocks'!G172+'Tous détail Stocks'!O172+'Tous détail Stocks'!W172+'Tous détail Stocks'!AD172+'Tous détail Stocks'!AK172+'Tous détail Stocks'!AR172</x:f>
        <x:v>805934012134.0883</x:v>
      </x:c>
      <x:c r="J32" s="9">
        <x:v>27</x:v>
      </x:c>
      <x:c r="K32" s="12">
        <x:v>47026</x:v>
      </x:c>
      <x:c r="L32" s="15" t="n">
        <x:f>'Tous détail Stocks'!F178+'Tous détail Stocks'!N178+'Tous détail Stocks'!V178+'Tous détail Stocks'!AC178+'Tous détail Stocks'!AJ178+'Tous détail Stocks'!AQ178</x:f>
        <x:v>337499250744.25555</x:v>
      </x:c>
      <x:c r="M32" s="15">
        <x:v>1715267131410.2051</x:v>
      </x:c>
      <x:c r="N32" s="27">
        <x:f t="shared" si="3"/>
        <x:v>2052766382154.4607</x:v>
      </x:c>
    </x:row>
    <x:row r="33">
      <x:c r="B33" s="9">
        <x:v>28</x:v>
      </x:c>
      <x:c r="C33" s="12">
        <x:f t="shared" si="4"/>
        <x:v>46873</x:v>
      </x:c>
      <x:c r="D33" s="15">
        <x:f t="shared" si="0"/>
        <x:v>1181986935772.2563</x:v>
      </x:c>
      <x:c r="E33" s="18">
        <x:f t="shared" si="1"/>
        <x:v>0.31225657834260717</x:v>
      </x:c>
      <x:c r="F33" s="18">
        <x:f t="shared" si="2"/>
        <x:v>0.68774342165739288</x:v>
      </x:c>
      <x:c r="G33" s="21" t="n">
        <x:f>'Tous détail Stocks'!F173+'Tous détail Stocks'!N173+'Tous détail Stocks'!V173+'Tous détail Stocks'!AC173+'Tous détail Stocks'!AJ173+'Tous détail Stocks'!AQ173</x:f>
        <x:v>369083196209.9078</x:v>
      </x:c>
      <x:c r="H33" s="24" t="n">
        <x:f>'Tous détail Stocks'!G173+'Tous détail Stocks'!O173+'Tous détail Stocks'!W173+'Tous détail Stocks'!AD173+'Tous détail Stocks'!AK173+'Tous détail Stocks'!AR173</x:f>
        <x:v>812903739562.3486</x:v>
      </x:c>
      <x:c r="J33" s="9">
        <x:v>28</x:v>
      </x:c>
      <x:c r="K33" s="12">
        <x:v>47057</x:v>
      </x:c>
      <x:c r="L33" s="15" t="n">
        <x:f>'Tous détail Stocks'!F179+'Tous détail Stocks'!N179+'Tous détail Stocks'!V179+'Tous détail Stocks'!AC179+'Tous détail Stocks'!AJ179+'Tous détail Stocks'!AQ179</x:f>
        <x:v>331745233084.6369</x:v>
      </x:c>
      <x:c r="M33" s="15">
        <x:v>1599673622743.261</x:v>
      </x:c>
      <x:c r="N33" s="27">
        <x:f t="shared" si="3"/>
        <x:v>1931418855827.8979</x:v>
      </x:c>
    </x:row>
    <x:row r="34">
      <x:c r="B34" s="9">
        <x:v>29</x:v>
      </x:c>
      <x:c r="C34" s="12">
        <x:f t="shared" si="4"/>
        <x:v>46904</x:v>
      </x:c>
      <x:c r="D34" s="15">
        <x:f t="shared" si="0"/>
        <x:v>1181986935772.2563</x:v>
      </x:c>
      <x:c r="E34" s="18">
        <x:f t="shared" si="1"/>
        <x:v>0.30656042928036414</x:v>
      </x:c>
      <x:c r="F34" s="18">
        <x:f t="shared" si="2"/>
        <x:v>0.69343957071963569</x:v>
      </x:c>
      <x:c r="G34" s="21" t="n">
        <x:f>'Tous détail Stocks'!F174+'Tous détail Stocks'!N174+'Tous détail Stocks'!V174+'Tous détail Stocks'!AC174+'Tous détail Stocks'!AJ174+'Tous détail Stocks'!AQ174</x:f>
        <x:v>362350422434.1251</x:v>
      </x:c>
      <x:c r="H34" s="24" t="n">
        <x:f>'Tous détail Stocks'!G174+'Tous détail Stocks'!O174+'Tous détail Stocks'!W174+'Tous détail Stocks'!AD174+'Tous détail Stocks'!AK174+'Tous détail Stocks'!AR174</x:f>
        <x:v>819636513338.1311</x:v>
      </x:c>
      <x:c r="J34" s="9">
        <x:v>29</x:v>
      </x:c>
      <x:c r="K34" s="12">
        <x:v>47087</x:v>
      </x:c>
      <x:c r="L34" s="15" t="n">
        <x:f>'Tous détail Stocks'!F180+'Tous détail Stocks'!N180+'Tous détail Stocks'!V180+'Tous détail Stocks'!AC180+'Tous détail Stocks'!AJ180+'Tous détail Stocks'!AQ180</x:f>
        <x:v>326153863025.48883</x:v>
      </x:c>
      <x:c r="M34" s="15">
        <x:v>1632919994504.3223</x:v>
      </x:c>
      <x:c r="N34" s="27">
        <x:f t="shared" si="3"/>
        <x:v>1959073857529.811</x:v>
      </x:c>
    </x:row>
    <x:row r="35">
      <x:c r="B35" s="9">
        <x:v>30</x:v>
      </x:c>
      <x:c r="C35" s="12">
        <x:f t="shared" si="4"/>
        <x:v>46934</x:v>
      </x:c>
      <x:c r="D35" s="15">
        <x:f t="shared" si="0"/>
        <x:v>1181986935772.2563</x:v>
      </x:c>
      <x:c r="E35" s="18">
        <x:f t="shared" si="1"/>
        <x:v>0.30105159656881819</x:v>
      </x:c>
      <x:c r="F35" s="18">
        <x:f t="shared" si="2"/>
        <x:v>0.69894840343118181</x:v>
      </x:c>
      <x:c r="G35" s="21" t="n">
        <x:f>'Tous détail Stocks'!F175+'Tous détail Stocks'!N175+'Tous détail Stocks'!V175+'Tous détail Stocks'!AC175+'Tous détail Stocks'!AJ175+'Tous détail Stocks'!AQ175</x:f>
        <x:v>355839054137.72296</x:v>
      </x:c>
      <x:c r="H35" s="24" t="n">
        <x:f>'Tous détail Stocks'!G175+'Tous détail Stocks'!O175+'Tous détail Stocks'!W175+'Tous détail Stocks'!AD175+'Tous détail Stocks'!AK175+'Tous détail Stocks'!AR175</x:f>
        <x:v>826147881634.5334</x:v>
      </x:c>
      <x:c r="J35" s="9">
        <x:v>30</x:v>
      </x:c>
      <x:c r="K35" s="12">
        <x:v>47118</x:v>
      </x:c>
      <x:c r="L35" s="15" t="n">
        <x:f>'Tous détail Stocks'!F181+'Tous détail Stocks'!N181+'Tous détail Stocks'!V181+'Tous détail Stocks'!AC181+'Tous détail Stocks'!AJ181+'Tous détail Stocks'!AQ181</x:f>
        <x:v>320716196214.39105</x:v>
      </x:c>
      <x:c r="M35" s="15">
        <x:v>1652524174007.4214</x:v>
      </x:c>
      <x:c r="N35" s="27">
        <x:f t="shared" si="3"/>
        <x:v>1973240370221.8125</x:v>
      </x:c>
    </x:row>
    <x:row r="36">
      <x:c r="B36" s="9">
        <x:v>31</x:v>
      </x:c>
      <x:c r="C36" s="12">
        <x:f t="shared" si="4"/>
        <x:v>46965</x:v>
      </x:c>
      <x:c r="D36" s="15">
        <x:f t="shared" si="0"/>
        <x:v>1181986935772.2563</x:v>
      </x:c>
      <x:c r="E36" s="18">
        <x:f t="shared" si="1"/>
        <x:v>0.29571819698210539</x:v>
      </x:c>
      <x:c r="F36" s="18">
        <x:f t="shared" si="2"/>
        <x:v>0.70428180301789478</x:v>
      </x:c>
      <x:c r="G36" s="21" t="n">
        <x:f>'Tous détail Stocks'!F176+'Tous détail Stocks'!N176+'Tous détail Stocks'!V176+'Tous détail Stocks'!AC176+'Tous détail Stocks'!AJ176+'Tous détail Stocks'!AQ176</x:f>
        <x:v>349535045502.9752</x:v>
      </x:c>
      <x:c r="H36" s="24" t="n">
        <x:f>'Tous détail Stocks'!G176+'Tous détail Stocks'!O176+'Tous détail Stocks'!W176+'Tous détail Stocks'!AD176+'Tous détail Stocks'!AK176+'Tous détail Stocks'!AR176</x:f>
        <x:v>832451890269.2812</x:v>
      </x:c>
      <x:c r="J36" s="9">
        <x:v>31</x:v>
      </x:c>
      <x:c r="K36" s="12">
        <x:v>47149</x:v>
      </x:c>
      <x:c r="L36" s="15" t="n">
        <x:f>'Tous détail Stocks'!F182+'Tous détail Stocks'!N182+'Tous détail Stocks'!V182+'Tous détail Stocks'!AC182+'Tous détail Stocks'!AJ182+'Tous détail Stocks'!AQ182</x:f>
        <x:v>315423995937.3818</x:v>
      </x:c>
      <x:c r="M36" s="15">
        <x:v>1666897412866.0137</x:v>
      </x:c>
      <x:c r="N36" s="27">
        <x:f t="shared" si="3"/>
        <x:v>1982321408803.3955</x:v>
      </x:c>
    </x:row>
    <x:row r="37">
      <x:c r="B37" s="9">
        <x:v>32</x:v>
      </x:c>
      <x:c r="C37" s="12">
        <x:f t="shared" si="4"/>
        <x:v>46996</x:v>
      </x:c>
      <x:c r="D37" s="15">
        <x:f t="shared" si="0"/>
        <x:v>1181986935772.2563</x:v>
      </x:c>
      <x:c r="E37" s="18">
        <x:f t="shared" si="1"/>
        <x:v>0.29054944581660841</x:v>
      </x:c>
      <x:c r="F37" s="18">
        <x:f t="shared" si="2"/>
        <x:v>0.70945055418339165</x:v>
      </x:c>
      <x:c r="G37" s="21" t="n">
        <x:f>'Tous détail Stocks'!F177+'Tous détail Stocks'!N177+'Tous détail Stocks'!V177+'Tous détail Stocks'!AC177+'Tous détail Stocks'!AJ177+'Tous détail Stocks'!AQ177</x:f>
        <x:v>343425649151.1002</x:v>
      </x:c>
      <x:c r="H37" s="24" t="n">
        <x:f>'Tous détail Stocks'!G177+'Tous détail Stocks'!O177+'Tous détail Stocks'!W177+'Tous détail Stocks'!AD177+'Tous détail Stocks'!AK177+'Tous détail Stocks'!AR177</x:f>
        <x:v>838561286621.1562</x:v>
      </x:c>
      <x:c r="J37" s="9">
        <x:v>32</x:v>
      </x:c>
      <x:c r="K37" s="12">
        <x:v>47177</x:v>
      </x:c>
      <x:c r="L37" s="15" t="n">
        <x:f>'Tous détail Stocks'!F183+'Tous détail Stocks'!N183+'Tous détail Stocks'!V183+'Tous détail Stocks'!AC183+'Tous détail Stocks'!AJ183+'Tous détail Stocks'!AQ183</x:f>
        <x:v>310269663248.5444</x:v>
      </x:c>
      <x:c r="M37" s="15">
        <x:v>1645000182194.7251</x:v>
      </x:c>
      <x:c r="N37" s="27">
        <x:f t="shared" si="3"/>
        <x:v>1955269845443.2695</x:v>
      </x:c>
    </x:row>
    <x:row r="38">
      <x:c r="B38" s="9">
        <x:v>33</x:v>
      </x:c>
      <x:c r="C38" s="12">
        <x:f t="shared" si="4"/>
        <x:v>47026</x:v>
      </x:c>
      <x:c r="D38" s="15" t="n">
        <x:f t="shared" ref="D38:D69" si="5">G38+H38</x:f>
        <x:v>1181986935772.2563</x:v>
      </x:c>
      <x:c r="E38" s="18" t="n">
        <x:f t="shared" ref="E38:E69" si="6">G38/D38</x:f>
        <x:v>0.28553551695878004</x:v>
      </x:c>
      <x:c r="F38" s="18" t="n">
        <x:f t="shared" ref="F38:F69" si="7">H38/D38</x:f>
        <x:v>0.71446448304122</x:v>
      </x:c>
      <x:c r="G38" s="21" t="n">
        <x:f>'Tous détail Stocks'!F178+'Tous détail Stocks'!N178+'Tous détail Stocks'!V178+'Tous détail Stocks'!AC178+'Tous détail Stocks'!AJ178+'Tous détail Stocks'!AQ178</x:f>
        <x:v>337499250744.25555</x:v>
      </x:c>
      <x:c r="H38" s="24" t="n">
        <x:f>'Tous détail Stocks'!G178+'Tous détail Stocks'!O178+'Tous détail Stocks'!W178+'Tous détail Stocks'!AD178+'Tous détail Stocks'!AK178+'Tous détail Stocks'!AR178</x:f>
        <x:v>844487685028.0009</x:v>
      </x:c>
      <x:c r="J38" s="9">
        <x:v>33</x:v>
      </x:c>
      <x:c r="K38" s="12">
        <x:v>47208</x:v>
      </x:c>
      <x:c r="L38" s="15" t="n">
        <x:f>'Tous détail Stocks'!F184+'Tous détail Stocks'!N184+'Tous détail Stocks'!V184+'Tous détail Stocks'!AC184+'Tous détail Stocks'!AJ184+'Tous détail Stocks'!AQ184</x:f>
        <x:v>305246176244.2645</x:v>
      </x:c>
      <x:c r="M38" s="15">
        <x:v>1608875878149.5054</x:v>
      </x:c>
      <x:c r="N38" s="27" t="n">
        <x:f t="shared" ref="N38:N69" si="8">L38+M38</x:f>
        <x:v>1914122054393.77</x:v>
      </x:c>
    </x:row>
    <x:row r="39">
      <x:c r="B39" s="9">
        <x:v>34</x:v>
      </x:c>
      <x:c r="C39" s="12" t="n">
        <x:f t="shared" ref="C39:C70" si="9">EOMONTH(C38,1)</x:f>
        <x:v>47057</x:v>
      </x:c>
      <x:c r="D39" s="15">
        <x:f t="shared" si="5"/>
        <x:v>1181986935772.2563</x:v>
      </x:c>
      <x:c r="E39" s="18">
        <x:f t="shared" si="6"/>
        <x:v>0.28066742790849014</x:v>
      </x:c>
      <x:c r="F39" s="18">
        <x:f t="shared" si="7"/>
        <x:v>0.7193325720915098</x:v>
      </x:c>
      <x:c r="G39" s="21" t="n">
        <x:f>'Tous détail Stocks'!F179+'Tous détail Stocks'!N179+'Tous détail Stocks'!V179+'Tous détail Stocks'!AC179+'Tous détail Stocks'!AJ179+'Tous détail Stocks'!AQ179</x:f>
        <x:v>331745233084.6369</x:v>
      </x:c>
      <x:c r="H39" s="24" t="n">
        <x:f>'Tous détail Stocks'!G179+'Tous détail Stocks'!O179+'Tous détail Stocks'!W179+'Tous détail Stocks'!AD179+'Tous détail Stocks'!AK179+'Tous détail Stocks'!AR179</x:f>
        <x:v>850241702687.6194</x:v>
      </x:c>
      <x:c r="J39" s="9">
        <x:v>34</x:v>
      </x:c>
      <x:c r="K39" s="12">
        <x:v>47238</x:v>
      </x:c>
      <x:c r="L39" s="15" t="n">
        <x:f>'Tous détail Stocks'!F185+'Tous détail Stocks'!N185+'Tous détail Stocks'!V185+'Tous détail Stocks'!AC185+'Tous détail Stocks'!AJ185+'Tous détail Stocks'!AQ185</x:f>
        <x:v>300347036840.0535</x:v>
      </x:c>
      <x:c r="M39" s="15">
        <x:v>1671887521525.6816</x:v>
      </x:c>
      <x:c r="N39" s="27">
        <x:f t="shared" si="8"/>
        <x:v>1972234558365.7351</x:v>
      </x:c>
    </x:row>
    <x:row r="40">
      <x:c r="B40" s="9">
        <x:v>35</x:v>
      </x:c>
      <x:c r="C40" s="12">
        <x:f t="shared" si="9"/>
        <x:v>47087</x:v>
      </x:c>
      <x:c r="D40" s="15">
        <x:f t="shared" si="5"/>
        <x:v>1181986935772.2563</x:v>
      </x:c>
      <x:c r="E40" s="18">
        <x:f t="shared" si="6"/>
        <x:v>0.27593694410200464</x:v>
      </x:c>
      <x:c r="F40" s="18">
        <x:f t="shared" si="7"/>
        <x:v>0.72406305589799547</x:v>
      </x:c>
      <x:c r="G40" s="21" t="n">
        <x:f>'Tous détail Stocks'!F180+'Tous détail Stocks'!N180+'Tous détail Stocks'!V180+'Tous détail Stocks'!AC180+'Tous détail Stocks'!AJ180+'Tous détail Stocks'!AQ180</x:f>
        <x:v>326153863025.48883</x:v>
      </x:c>
      <x:c r="H40" s="24" t="n">
        <x:f>'Tous détail Stocks'!G180+'Tous détail Stocks'!O180+'Tous détail Stocks'!W180+'Tous détail Stocks'!AD180+'Tous détail Stocks'!AK180+'Tous détail Stocks'!AR180</x:f>
        <x:v>855833072746.7676</x:v>
      </x:c>
      <x:c r="J40" s="9">
        <x:v>35</x:v>
      </x:c>
      <x:c r="K40" s="12">
        <x:v>47269</x:v>
      </x:c>
      <x:c r="L40" s="15" t="n">
        <x:f>'Tous détail Stocks'!F186+'Tous détail Stocks'!N186+'Tous détail Stocks'!V186+'Tous détail Stocks'!AC186+'Tous détail Stocks'!AJ186+'Tous détail Stocks'!AQ186</x:f>
        <x:v>295566223778.1979</x:v>
      </x:c>
      <x:c r="M40" s="15">
        <x:v>1626351801999.8845</x:v>
      </x:c>
      <x:c r="N40" s="27">
        <x:f t="shared" si="8"/>
        <x:v>1921918025778.0825</x:v>
      </x:c>
    </x:row>
    <x:row r="41">
      <x:c r="B41" s="9">
        <x:v>36</x:v>
      </x:c>
      <x:c r="C41" s="12">
        <x:f t="shared" si="9"/>
        <x:v>47118</x:v>
      </x:c>
      <x:c r="D41" s="15">
        <x:f t="shared" si="5"/>
        <x:v>1181986935772.2563</x:v>
      </x:c>
      <x:c r="E41" s="18">
        <x:f t="shared" si="6"/>
        <x:v>0.27133649832165846</x:v>
      </x:c>
      <x:c r="F41" s="18">
        <x:f t="shared" si="7"/>
        <x:v>0.72866350167834149</x:v>
      </x:c>
      <x:c r="G41" s="21" t="n">
        <x:f>'Tous détail Stocks'!F181+'Tous détail Stocks'!N181+'Tous détail Stocks'!V181+'Tous détail Stocks'!AC181+'Tous détail Stocks'!AJ181+'Tous détail Stocks'!AQ181</x:f>
        <x:v>320716196214.39105</x:v>
      </x:c>
      <x:c r="H41" s="24" t="n">
        <x:f>'Tous détail Stocks'!G181+'Tous détail Stocks'!O181+'Tous détail Stocks'!W181+'Tous détail Stocks'!AD181+'Tous détail Stocks'!AK181+'Tous détail Stocks'!AR181</x:f>
        <x:v>861270739557.8652</x:v>
      </x:c>
      <x:c r="J41" s="9">
        <x:v>36</x:v>
      </x:c>
      <x:c r="K41" s="12">
        <x:v>47299</x:v>
      </x:c>
      <x:c r="L41" s="15" t="n">
        <x:f>'Tous détail Stocks'!F187+'Tous détail Stocks'!N187+'Tous détail Stocks'!V187+'Tous détail Stocks'!AC187+'Tous détail Stocks'!AJ187+'Tous détail Stocks'!AQ187</x:f>
        <x:v>290898150871.00885</x:v>
      </x:c>
      <x:c r="M41" s="15">
        <x:v>2057759296040.6462</x:v>
      </x:c>
      <x:c r="N41" s="27">
        <x:f t="shared" si="8"/>
        <x:v>2348657446911.6553</x:v>
      </x:c>
    </x:row>
    <x:row r="42">
      <x:c r="B42" s="9">
        <x:v>37</x:v>
      </x:c>
      <x:c r="C42" s="12">
        <x:f t="shared" si="9"/>
        <x:v>47149</x:v>
      </x:c>
      <x:c r="D42" s="15">
        <x:f t="shared" si="5"/>
        <x:v>1181986935772.2563</x:v>
      </x:c>
      <x:c r="E42" s="18">
        <x:f t="shared" si="6"/>
        <x:v>0.26685912203530249</x:v>
      </x:c>
      <x:c r="F42" s="18">
        <x:f t="shared" si="7"/>
        <x:v>0.73314087796469751</x:v>
      </x:c>
      <x:c r="G42" s="21" t="n">
        <x:f>'Tous détail Stocks'!F182+'Tous détail Stocks'!N182+'Tous détail Stocks'!V182+'Tous détail Stocks'!AC182+'Tous détail Stocks'!AJ182+'Tous détail Stocks'!AQ182</x:f>
        <x:v>315423995937.3818</x:v>
      </x:c>
      <x:c r="H42" s="24" t="n">
        <x:f>'Tous détail Stocks'!G182+'Tous détail Stocks'!O182+'Tous détail Stocks'!W182+'Tous détail Stocks'!AD182+'Tous détail Stocks'!AK182+'Tous détail Stocks'!AR182</x:f>
        <x:v>866562939834.8745</x:v>
      </x:c>
      <x:c r="J42" s="9">
        <x:v>37</x:v>
      </x:c>
      <x:c r="K42" s="12">
        <x:v>47330</x:v>
      </x:c>
      <x:c r="L42" s="15" t="n">
        <x:f>'Tous détail Stocks'!F188+'Tous détail Stocks'!N188+'Tous détail Stocks'!V188+'Tous détail Stocks'!AC188+'Tous détail Stocks'!AJ188+'Tous détail Stocks'!AQ188</x:f>
        <x:v>286337629692.14905</x:v>
      </x:c>
      <x:c r="M42" s="15">
        <x:v>1732474414091.5608</x:v>
      </x:c>
      <x:c r="N42" s="27">
        <x:f t="shared" si="8"/>
        <x:v>2018812043783.71</x:v>
      </x:c>
    </x:row>
    <x:row r="43">
      <x:c r="B43" s="9">
        <x:v>38</x:v>
      </x:c>
      <x:c r="C43" s="12">
        <x:f t="shared" si="9"/>
        <x:v>47177</x:v>
      </x:c>
      <x:c r="D43" s="15">
        <x:f t="shared" si="5"/>
        <x:v>1181986935772.2563</x:v>
      </x:c>
      <x:c r="E43" s="18">
        <x:f t="shared" si="6"/>
        <x:v>0.26249838628362532</x:v>
      </x:c>
      <x:c r="F43" s="18">
        <x:f t="shared" si="7"/>
        <x:v>0.73750161371637468</x:v>
      </x:c>
      <x:c r="G43" s="21" t="n">
        <x:f>'Tous détail Stocks'!F183+'Tous détail Stocks'!N183+'Tous détail Stocks'!V183+'Tous détail Stocks'!AC183+'Tous détail Stocks'!AJ183+'Tous détail Stocks'!AQ183</x:f>
        <x:v>310269663248.5444</x:v>
      </x:c>
      <x:c r="H43" s="24" t="n">
        <x:f>'Tous détail Stocks'!G183+'Tous détail Stocks'!O183+'Tous détail Stocks'!W183+'Tous détail Stocks'!AD183+'Tous détail Stocks'!AK183+'Tous détail Stocks'!AR183</x:f>
        <x:v>871717272523.7119</x:v>
      </x:c>
      <x:c r="J43" s="9">
        <x:v>38</x:v>
      </x:c>
      <x:c r="K43" s="12">
        <x:v>47361</x:v>
      </x:c>
      <x:c r="L43" s="15" t="n">
        <x:f>'Tous détail Stocks'!F189+'Tous détail Stocks'!N189+'Tous détail Stocks'!V189+'Tous détail Stocks'!AC189+'Tous détail Stocks'!AJ189+'Tous détail Stocks'!AQ189</x:f>
        <x:v>281879836085.61707</x:v>
      </x:c>
      <x:c r="M43" s="15">
        <x:v>1499602150699.3796</x:v>
      </x:c>
      <x:c r="N43" s="27">
        <x:f t="shared" si="8"/>
        <x:v>1781481986784.9966</x:v>
      </x:c>
    </x:row>
    <x:row r="44">
      <x:c r="B44" s="9">
        <x:v>39</x:v>
      </x:c>
      <x:c r="C44" s="12">
        <x:f t="shared" si="9"/>
        <x:v>47208</x:v>
      </x:c>
      <x:c r="D44" s="15">
        <x:f t="shared" si="5"/>
        <x:v>1181986935772.2563</x:v>
      </x:c>
      <x:c r="E44" s="18">
        <x:f t="shared" si="6"/>
        <x:v>0.25824835030416865</x:v>
      </x:c>
      <x:c r="F44" s="18">
        <x:f t="shared" si="7"/>
        <x:v>0.74175164969583129</x:v>
      </x:c>
      <x:c r="G44" s="21" t="n">
        <x:f>'Tous détail Stocks'!F184+'Tous détail Stocks'!N184+'Tous détail Stocks'!V184+'Tous détail Stocks'!AC184+'Tous détail Stocks'!AJ184+'Tous détail Stocks'!AQ184</x:f>
        <x:v>305246176244.2645</x:v>
      </x:c>
      <x:c r="H44" s="24" t="n">
        <x:f>'Tous détail Stocks'!G184+'Tous détail Stocks'!O184+'Tous détail Stocks'!W184+'Tous détail Stocks'!AD184+'Tous détail Stocks'!AK184+'Tous détail Stocks'!AR184</x:f>
        <x:v>876740759527.9917</x:v>
      </x:c>
      <x:c r="J44" s="9">
        <x:v>39</x:v>
      </x:c>
      <x:c r="K44" s="12">
        <x:v>47391</x:v>
      </x:c>
      <x:c r="L44" s="15" t="n">
        <x:f>'Tous détail Stocks'!F190+'Tous détail Stocks'!N190+'Tous détail Stocks'!V190+'Tous détail Stocks'!AC190+'Tous détail Stocks'!AJ190+'Tous détail Stocks'!AQ190</x:f>
        <x:v>277520279981.7195</x:v>
      </x:c>
      <x:c r="M44" s="15">
        <x:v>1739408675520.0259</x:v>
      </x:c>
      <x:c r="N44" s="27">
        <x:f t="shared" si="8"/>
        <x:v>2016928955501.7454</x:v>
      </x:c>
    </x:row>
    <x:row r="45">
      <x:c r="B45" s="9">
        <x:v>40</x:v>
      </x:c>
      <x:c r="C45" s="12">
        <x:f t="shared" si="9"/>
        <x:v>47238</x:v>
      </x:c>
      <x:c r="D45" s="15">
        <x:f t="shared" si="5"/>
        <x:v>1181986935772.2563</x:v>
      </x:c>
      <x:c r="E45" s="18">
        <x:f t="shared" si="6"/>
        <x:v>0.25410351650276108</x:v>
      </x:c>
      <x:c r="F45" s="18">
        <x:f t="shared" si="7"/>
        <x:v>0.74589648349723903</x:v>
      </x:c>
      <x:c r="G45" s="21" t="n">
        <x:f>'Tous détail Stocks'!F185+'Tous détail Stocks'!N185+'Tous détail Stocks'!V185+'Tous détail Stocks'!AC185+'Tous détail Stocks'!AJ185+'Tous détail Stocks'!AQ185</x:f>
        <x:v>300347036840.0535</x:v>
      </x:c>
      <x:c r="H45" s="24" t="n">
        <x:f>'Tous détail Stocks'!G185+'Tous détail Stocks'!O185+'Tous détail Stocks'!W185+'Tous détail Stocks'!AD185+'Tous détail Stocks'!AK185+'Tous détail Stocks'!AR185</x:f>
        <x:v>881639898932.2029</x:v>
      </x:c>
      <x:c r="J45" s="9">
        <x:v>40</x:v>
      </x:c>
      <x:c r="K45" s="12">
        <x:v>47422</x:v>
      </x:c>
      <x:c r="L45" s="15" t="n">
        <x:f>'Tous détail Stocks'!F191+'Tous détail Stocks'!N191+'Tous détail Stocks'!V191+'Tous détail Stocks'!AC191+'Tous détail Stocks'!AJ191+'Tous détail Stocks'!AQ191</x:f>
        <x:v>273254778101.43298</x:v>
      </x:c>
      <x:c r="M45" s="15">
        <x:v>1622964995379.2603</x:v>
      </x:c>
      <x:c r="N45" s="27">
        <x:f t="shared" si="8"/>
        <x:v>1896219773480.6934</x:v>
      </x:c>
    </x:row>
    <x:row r="46">
      <x:c r="B46" s="9">
        <x:v>41</x:v>
      </x:c>
      <x:c r="C46" s="12">
        <x:f t="shared" si="9"/>
        <x:v>47269</x:v>
      </x:c>
      <x:c r="D46" s="15">
        <x:f t="shared" si="5"/>
        <x:v>1181986935772.2563</x:v>
      </x:c>
      <x:c r="E46" s="18">
        <x:f t="shared" si="6"/>
        <x:v>0.25005879069643727</x:v>
      </x:c>
      <x:c r="F46" s="18">
        <x:f t="shared" si="7"/>
        <x:v>0.74994120930356289</x:v>
      </x:c>
      <x:c r="G46" s="21" t="n">
        <x:f>'Tous détail Stocks'!F186+'Tous détail Stocks'!N186+'Tous détail Stocks'!V186+'Tous détail Stocks'!AC186+'Tous détail Stocks'!AJ186+'Tous détail Stocks'!AQ186</x:f>
        <x:v>295566223778.1979</x:v>
      </x:c>
      <x:c r="H46" s="24" t="n">
        <x:f>'Tous détail Stocks'!G186+'Tous détail Stocks'!O186+'Tous détail Stocks'!W186+'Tous détail Stocks'!AD186+'Tous détail Stocks'!AK186+'Tous détail Stocks'!AR186</x:f>
        <x:v>886420711994.0586</x:v>
      </x:c>
      <x:c r="J46" s="9">
        <x:v>41</x:v>
      </x:c>
      <x:c r="K46" s="12">
        <x:v>47452</x:v>
      </x:c>
      <x:c r="L46" s="15" t="n">
        <x:f>'Tous détail Stocks'!F192+'Tous détail Stocks'!N192+'Tous détail Stocks'!V192+'Tous détail Stocks'!AC192+'Tous détail Stocks'!AJ192+'Tous détail Stocks'!AQ192</x:f>
        <x:v>269079429202.01248</x:v>
      </x:c>
      <x:c r="M46" s="15">
        <x:v>1656182342607.7925</x:v>
      </x:c>
      <x:c r="N46" s="27">
        <x:f t="shared" si="8"/>
        <x:v>1925261771809.8049</x:v>
      </x:c>
    </x:row>
    <x:row r="47">
      <x:c r="B47" s="9">
        <x:v>42</x:v>
      </x:c>
      <x:c r="C47" s="12">
        <x:f t="shared" si="9"/>
        <x:v>47299</x:v>
      </x:c>
      <x:c r="D47" s="15">
        <x:f t="shared" si="5"/>
        <x:v>1181986935772.2563</x:v>
      </x:c>
      <x:c r="E47" s="18">
        <x:f t="shared" si="6"/>
        <x:v>0.24610944678584731</x:v>
      </x:c>
      <x:c r="F47" s="18">
        <x:f t="shared" si="7"/>
        <x:v>0.75389055321415277</x:v>
      </x:c>
      <x:c r="G47" s="21" t="n">
        <x:f>'Tous détail Stocks'!F187+'Tous détail Stocks'!N187+'Tous détail Stocks'!V187+'Tous détail Stocks'!AC187+'Tous détail Stocks'!AJ187+'Tous détail Stocks'!AQ187</x:f>
        <x:v>290898150871.00885</x:v>
      </x:c>
      <x:c r="H47" s="24" t="n">
        <x:f>'Tous détail Stocks'!G187+'Tous détail Stocks'!O187+'Tous détail Stocks'!W187+'Tous détail Stocks'!AD187+'Tous détail Stocks'!AK187+'Tous détail Stocks'!AR187</x:f>
        <x:v>891088784901.2476</x:v>
      </x:c>
      <x:c r="J47" s="9">
        <x:v>42</x:v>
      </x:c>
      <x:c r="K47" s="12">
        <x:v>47483</x:v>
      </x:c>
      <x:c r="L47" s="15" t="n">
        <x:f>'Tous détail Stocks'!F193+'Tous détail Stocks'!N193+'Tous détail Stocks'!V193+'Tous détail Stocks'!AC193+'Tous détail Stocks'!AJ193+'Tous détail Stocks'!AQ193</x:f>
        <x:v>264990591572.72446</x:v>
      </x:c>
      <x:c r="M47" s="15">
        <x:v>1676061429351.2014</x:v>
      </x:c>
      <x:c r="N47" s="27">
        <x:f t="shared" si="8"/>
        <x:v>1941052020923.9258</x:v>
      </x:c>
    </x:row>
    <x:row r="48">
      <x:c r="B48" s="9">
        <x:v>43</x:v>
      </x:c>
      <x:c r="C48" s="12">
        <x:f t="shared" si="9"/>
        <x:v>47330</x:v>
      </x:c>
      <x:c r="D48" s="15">
        <x:f t="shared" si="5"/>
        <x:v>1181986935772.2563</x:v>
      </x:c>
      <x:c r="E48" s="18">
        <x:f t="shared" si="6"/>
        <x:v>0.24225109519088645</x:v>
      </x:c>
      <x:c r="F48" s="18">
        <x:f t="shared" si="7"/>
        <x:v>0.75774890480911361</x:v>
      </x:c>
      <x:c r="G48" s="21" t="n">
        <x:f>'Tous détail Stocks'!F188+'Tous détail Stocks'!N188+'Tous détail Stocks'!V188+'Tous détail Stocks'!AC188+'Tous détail Stocks'!AJ188+'Tous détail Stocks'!AQ188</x:f>
        <x:v>286337629692.14905</x:v>
      </x:c>
      <x:c r="H48" s="24" t="n">
        <x:f>'Tous détail Stocks'!G188+'Tous détail Stocks'!O188+'Tous détail Stocks'!W188+'Tous détail Stocks'!AD188+'Tous détail Stocks'!AK188+'Tous détail Stocks'!AR188</x:f>
        <x:v>895649306080.1074</x:v>
      </x:c>
      <x:c r="J48" s="9">
        <x:v>43</x:v>
      </x:c>
      <x:c r="K48" s="12">
        <x:v>47514</x:v>
      </x:c>
      <x:c r="L48" s="15" t="n">
        <x:f>'Tous détail Stocks'!F194+'Tous détail Stocks'!N194+'Tous détail Stocks'!V194+'Tous détail Stocks'!AC194+'Tous détail Stocks'!AJ194+'Tous détail Stocks'!AQ194</x:f>
        <x:v>260984862533.97464</x:v>
      </x:c>
      <x:c r="M48" s="15">
        <x:v>1691191720811.6587</x:v>
      </x:c>
      <x:c r="N48" s="27">
        <x:f t="shared" si="8"/>
        <x:v>1952176583345.6333</x:v>
      </x:c>
    </x:row>
    <x:row r="49">
      <x:c r="B49" s="9">
        <x:v>44</x:v>
      </x:c>
      <x:c r="C49" s="12">
        <x:f t="shared" si="9"/>
        <x:v>47361</x:v>
      </x:c>
      <x:c r="D49" s="15">
        <x:f t="shared" si="5"/>
        <x:v>1181986935772.2563</x:v>
      </x:c>
      <x:c r="E49" s="18">
        <x:f t="shared" si="6"/>
        <x:v>0.23847965451618941</x:v>
      </x:c>
      <x:c r="F49" s="18">
        <x:f t="shared" si="7"/>
        <x:v>0.76152034548381065</x:v>
      </x:c>
      <x:c r="G49" s="21" t="n">
        <x:f>'Tous détail Stocks'!F189+'Tous détail Stocks'!N189+'Tous détail Stocks'!V189+'Tous détail Stocks'!AC189+'Tous détail Stocks'!AJ189+'Tous détail Stocks'!AQ189</x:f>
        <x:v>281879836085.61707</x:v>
      </x:c>
      <x:c r="H49" s="24" t="n">
        <x:f>'Tous détail Stocks'!G189+'Tous détail Stocks'!O189+'Tous détail Stocks'!W189+'Tous détail Stocks'!AD189+'Tous détail Stocks'!AK189+'Tous détail Stocks'!AR189</x:f>
        <x:v>900107099686.6394</x:v>
      </x:c>
      <x:c r="J49" s="9">
        <x:v>44</x:v>
      </x:c>
      <x:c r="K49" s="12">
        <x:v>47542</x:v>
      </x:c>
      <x:c r="L49" s="15" t="n">
        <x:f>'Tous détail Stocks'!F195+'Tous détail Stocks'!N195+'Tous détail Stocks'!V195+'Tous détail Stocks'!AC195+'Tous détail Stocks'!AJ195+'Tous détail Stocks'!AQ195</x:f>
        <x:v>257059059728.66592</x:v>
      </x:c>
      <x:c r="M49" s="15">
        <x:v>1668518042007.3831</x:v>
      </x:c>
      <x:c r="N49" s="27">
        <x:f t="shared" si="8"/>
        <x:v>1925577101736.0491</x:v>
      </x:c>
    </x:row>
    <x:row r="50">
      <x:c r="B50" s="9">
        <x:v>45</x:v>
      </x:c>
      <x:c r="C50" s="12">
        <x:f t="shared" si="9"/>
        <x:v>47391</x:v>
      </x:c>
      <x:c r="D50" s="15">
        <x:f t="shared" si="5"/>
        <x:v>1181986935772.2563</x:v>
      </x:c>
      <x:c r="E50" s="18">
        <x:f t="shared" si="6"/>
        <x:v>0.23479132601444566</x:v>
      </x:c>
      <x:c r="F50" s="18">
        <x:f t="shared" si="7"/>
        <x:v>0.76520867398555448</x:v>
      </x:c>
      <x:c r="G50" s="21" t="n">
        <x:f>'Tous détail Stocks'!F190+'Tous détail Stocks'!N190+'Tous détail Stocks'!V190+'Tous détail Stocks'!AC190+'Tous détail Stocks'!AJ190+'Tous détail Stocks'!AQ190</x:f>
        <x:v>277520279981.7195</x:v>
      </x:c>
      <x:c r="H50" s="24" t="n">
        <x:f>'Tous détail Stocks'!G190+'Tous détail Stocks'!O190+'Tous détail Stocks'!W190+'Tous détail Stocks'!AD190+'Tous détail Stocks'!AK190+'Tous détail Stocks'!AR190</x:f>
        <x:v>904466655790.537</x:v>
      </x:c>
      <x:c r="J50" s="9">
        <x:v>45</x:v>
      </x:c>
      <x:c r="K50" s="12">
        <x:v>47573</x:v>
      </x:c>
      <x:c r="L50" s="15" t="n">
        <x:f>'Tous détail Stocks'!F196+'Tous détail Stocks'!N196+'Tous détail Stocks'!V196+'Tous détail Stocks'!AC196+'Tous détail Stocks'!AJ196+'Tous détail Stocks'!AQ196</x:f>
        <x:v>253210204023.44202</x:v>
      </x:c>
      <x:c r="M50" s="15">
        <x:v>1631914917280.1665</x:v>
      </x:c>
      <x:c r="N50" s="27">
        <x:f t="shared" si="8"/>
        <x:v>1885125121303.6084</x:v>
      </x:c>
    </x:row>
    <x:row r="51">
      <x:c r="B51" s="9">
        <x:v>46</x:v>
      </x:c>
      <x:c r="C51" s="12">
        <x:f t="shared" si="9"/>
        <x:v>47422</x:v>
      </x:c>
      <x:c r="D51" s="15">
        <x:f t="shared" si="5"/>
        <x:v>1181986935772.2563</x:v>
      </x:c>
      <x:c r="E51" s="18">
        <x:f t="shared" si="6"/>
        <x:v>0.2311825704933877</x:v>
      </x:c>
      <x:c r="F51" s="18">
        <x:f t="shared" si="7"/>
        <x:v>0.76881742950661225</x:v>
      </x:c>
      <x:c r="G51" s="21" t="n">
        <x:f>'Tous détail Stocks'!F191+'Tous détail Stocks'!N191+'Tous détail Stocks'!V191+'Tous détail Stocks'!AC191+'Tous détail Stocks'!AJ191+'Tous détail Stocks'!AQ191</x:f>
        <x:v>273254778101.43298</x:v>
      </x:c>
      <x:c r="H51" s="24" t="n">
        <x:f>'Tous détail Stocks'!G191+'Tous détail Stocks'!O191+'Tous détail Stocks'!W191+'Tous détail Stocks'!AD191+'Tous détail Stocks'!AK191+'Tous détail Stocks'!AR191</x:f>
        <x:v>908732157670.8234</x:v>
      </x:c>
      <x:c r="J51" s="9">
        <x:v>46</x:v>
      </x:c>
      <x:c r="K51" s="12">
        <x:v>47603</x:v>
      </x:c>
      <x:c r="L51" s="15" t="n">
        <x:f>'Tous détail Stocks'!F197+'Tous détail Stocks'!N197+'Tous détail Stocks'!V197+'Tous détail Stocks'!AC197+'Tous détail Stocks'!AJ197+'Tous détail Stocks'!AQ197</x:f>
        <x:v>249435503861.0887</x:v>
      </x:c>
      <x:c r="M51" s="15">
        <x:v>1696533378732.6467</x:v>
      </x:c>
      <x:c r="N51" s="27">
        <x:f t="shared" si="8"/>
        <x:v>1945968882593.7354</x:v>
      </x:c>
    </x:row>
    <x:row r="52">
      <x:c r="B52" s="9">
        <x:v>47</x:v>
      </x:c>
      <x:c r="C52" s="12">
        <x:f t="shared" si="9"/>
        <x:v>47452</x:v>
      </x:c>
      <x:c r="D52" s="15">
        <x:f t="shared" si="5"/>
        <x:v>1181986935772.2563</x:v>
      </x:c>
      <x:c r="E52" s="18">
        <x:f t="shared" si="6"/>
        <x:v>0.22765008737275785</x:v>
      </x:c>
      <x:c r="F52" s="18">
        <x:f t="shared" si="7"/>
        <x:v>0.77234991262724217</x:v>
      </x:c>
      <x:c r="G52" s="21" t="n">
        <x:f>'Tous détail Stocks'!F192+'Tous détail Stocks'!N192+'Tous détail Stocks'!V192+'Tous détail Stocks'!AC192+'Tous détail Stocks'!AJ192+'Tous détail Stocks'!AQ192</x:f>
        <x:v>269079429202.01248</x:v>
      </x:c>
      <x:c r="H52" s="24" t="n">
        <x:f>'Tous détail Stocks'!G192+'Tous détail Stocks'!O192+'Tous détail Stocks'!W192+'Tous détail Stocks'!AD192+'Tous détail Stocks'!AK192+'Tous détail Stocks'!AR192</x:f>
        <x:v>912907506570.2439</x:v>
      </x:c>
      <x:c r="J52" s="9">
        <x:v>47</x:v>
      </x:c>
      <x:c r="K52" s="12">
        <x:v>47634</x:v>
      </x:c>
      <x:c r="L52" s="15" t="n">
        <x:f>'Tous détail Stocks'!F198+'Tous détail Stocks'!N198+'Tous détail Stocks'!V198+'Tous détail Stocks'!AC198+'Tous détail Stocks'!AJ198+'Tous détail Stocks'!AQ198</x:f>
        <x:v>245732340924.9295</x:v>
      </x:c>
      <x:c r="M52" s="15">
        <x:v>1651357682391.0435</x:v>
      </x:c>
      <x:c r="N52" s="27">
        <x:f t="shared" si="8"/>
        <x:v>1897090023315.9729</x:v>
      </x:c>
    </x:row>
    <x:row r="53">
      <x:c r="B53" s="9">
        <x:v>48</x:v>
      </x:c>
      <x:c r="C53" s="12">
        <x:f t="shared" si="9"/>
        <x:v>47483</x:v>
      </x:c>
      <x:c r="D53" s="15">
        <x:f t="shared" si="5"/>
        <x:v>1181986935772.2563</x:v>
      </x:c>
      <x:c r="E53" s="18">
        <x:f t="shared" si="6"/>
        <x:v>0.22419079564495498</x:v>
      </x:c>
      <x:c r="F53" s="18">
        <x:f t="shared" si="7"/>
        <x:v>0.77580920435504508</x:v>
      </x:c>
      <x:c r="G53" s="21" t="n">
        <x:f>'Tous détail Stocks'!F193+'Tous détail Stocks'!N193+'Tous détail Stocks'!V193+'Tous détail Stocks'!AC193+'Tous détail Stocks'!AJ193+'Tous détail Stocks'!AQ193</x:f>
        <x:v>264990591572.72446</x:v>
      </x:c>
      <x:c r="H53" s="24" t="n">
        <x:f>'Tous détail Stocks'!G193+'Tous détail Stocks'!O193+'Tous détail Stocks'!W193+'Tous détail Stocks'!AD193+'Tous détail Stocks'!AK193+'Tous détail Stocks'!AR193</x:f>
        <x:v>916996344199.532</x:v>
      </x:c>
      <x:c r="J53" s="9">
        <x:v>48</x:v>
      </x:c>
      <x:c r="K53" s="12">
        <x:v>47664</x:v>
      </x:c>
      <x:c r="L53" s="15" t="n">
        <x:f>'Tous détail Stocks'!F199+'Tous détail Stocks'!N199+'Tous détail Stocks'!V199+'Tous détail Stocks'!AC199+'Tous détail Stocks'!AJ199+'Tous détail Stocks'!AQ199</x:f>
        <x:v>242098256992.4362</x:v>
      </x:c>
      <x:c r="M53" s="15">
        <x:v>2085780353676.3376</x:v>
      </x:c>
      <x:c r="N53" s="27">
        <x:f t="shared" si="8"/>
        <x:v>2327878610668.7739</x:v>
      </x:c>
    </x:row>
    <x:row r="54">
      <x:c r="B54" s="9">
        <x:v>49</x:v>
      </x:c>
      <x:c r="C54" s="12">
        <x:f t="shared" si="9"/>
        <x:v>47514</x:v>
      </x:c>
      <x:c r="D54" s="15">
        <x:f t="shared" si="5"/>
        <x:v>1181986935772.2563</x:v>
      </x:c>
      <x:c r="E54" s="18">
        <x:f t="shared" si="6"/>
        <x:v>0.22080181653061928</x:v>
      </x:c>
      <x:c r="F54" s="18">
        <x:f t="shared" si="7"/>
        <x:v>0.77919818346938075</x:v>
      </x:c>
      <x:c r="G54" s="21" t="n">
        <x:f>'Tous détail Stocks'!F194+'Tous détail Stocks'!N194+'Tous détail Stocks'!V194+'Tous détail Stocks'!AC194+'Tous détail Stocks'!AJ194+'Tous détail Stocks'!AQ194</x:f>
        <x:v>260984862533.97464</x:v>
      </x:c>
      <x:c r="H54" s="24" t="n">
        <x:f>'Tous détail Stocks'!G194+'Tous détail Stocks'!O194+'Tous détail Stocks'!W194+'Tous détail Stocks'!AD194+'Tous détail Stocks'!AK194+'Tous détail Stocks'!AR194</x:f>
        <x:v>921002073238.2817</x:v>
      </x:c>
      <x:c r="J54" s="9">
        <x:v>49</x:v>
      </x:c>
      <x:c r="K54" s="12">
        <x:v>47695</x:v>
      </x:c>
      <x:c r="L54" s="15" t="n">
        <x:f>'Tous détail Stocks'!F200+'Tous détail Stocks'!N200+'Tous détail Stocks'!V200+'Tous détail Stocks'!AC200+'Tous détail Stocks'!AJ200+'Tous détail Stocks'!AQ200</x:f>
        <x:v>238530941869.12906</x:v>
      </x:c>
      <x:c r="M54" s="15">
        <x:v>1758036383502.7974</x:v>
      </x:c>
      <x:c r="N54" s="27">
        <x:f t="shared" si="8"/>
        <x:v>1996567325371.9265</x:v>
      </x:c>
    </x:row>
    <x:row r="55">
      <x:c r="B55" s="9">
        <x:v>50</x:v>
      </x:c>
      <x:c r="C55" s="12">
        <x:f t="shared" si="9"/>
        <x:v>47542</x:v>
      </x:c>
      <x:c r="D55" s="15">
        <x:f t="shared" si="5"/>
        <x:v>1181986935772.2563</x:v>
      </x:c>
      <x:c r="E55" s="18">
        <x:f t="shared" si="6"/>
        <x:v>0.21748045765050292</x:v>
      </x:c>
      <x:c r="F55" s="18">
        <x:f t="shared" si="7"/>
        <x:v>0.78251954234949694</x:v>
      </x:c>
      <x:c r="G55" s="21" t="n">
        <x:f>'Tous détail Stocks'!F195+'Tous détail Stocks'!N195+'Tous détail Stocks'!V195+'Tous détail Stocks'!AC195+'Tous détail Stocks'!AJ195+'Tous détail Stocks'!AQ195</x:f>
        <x:v>257059059728.66592</x:v>
      </x:c>
      <x:c r="H55" s="24" t="n">
        <x:f>'Tous détail Stocks'!G195+'Tous détail Stocks'!O195+'Tous détail Stocks'!W195+'Tous détail Stocks'!AD195+'Tous détail Stocks'!AK195+'Tous détail Stocks'!AR195</x:f>
        <x:v>924927876043.5903</x:v>
      </x:c>
      <x:c r="J55" s="9">
        <x:v>50</x:v>
      </x:c>
      <x:c r="K55" s="12">
        <x:v>47726</x:v>
      </x:c>
      <x:c r="L55" s="15" t="n">
        <x:f>'Tous détail Stocks'!F201+'Tous détail Stocks'!N201+'Tous détail Stocks'!V201+'Tous détail Stocks'!AC201+'Tous détail Stocks'!AJ201+'Tous détail Stocks'!AQ201</x:f>
        <x:v>235028222305.66962</x:v>
      </x:c>
      <x:c r="M55" s="15">
        <x:v>1524682549338.3179</x:v>
      </x:c>
      <x:c r="N55" s="27">
        <x:f t="shared" si="8"/>
        <x:v>1759710771643.9875</x:v>
      </x:c>
    </x:row>
    <x:row r="56">
      <x:c r="B56" s="9">
        <x:v>51</x:v>
      </x:c>
      <x:c r="C56" s="12">
        <x:f t="shared" si="9"/>
        <x:v>47573</x:v>
      </x:c>
      <x:c r="D56" s="15">
        <x:f t="shared" si="5"/>
        <x:v>1181986935772.2563</x:v>
      </x:c>
      <x:c r="E56" s="18">
        <x:f t="shared" si="6"/>
        <x:v>0.21422419855935718</x:v>
      </x:c>
      <x:c r="F56" s="18">
        <x:f t="shared" si="7"/>
        <x:v>0.78577580144064285</x:v>
      </x:c>
      <x:c r="G56" s="21" t="n">
        <x:f>'Tous détail Stocks'!F196+'Tous détail Stocks'!N196+'Tous détail Stocks'!V196+'Tous détail Stocks'!AC196+'Tous détail Stocks'!AJ196+'Tous détail Stocks'!AQ196</x:f>
        <x:v>253210204023.44202</x:v>
      </x:c>
      <x:c r="H56" s="24" t="n">
        <x:f>'Tous détail Stocks'!G196+'Tous détail Stocks'!O196+'Tous détail Stocks'!W196+'Tous détail Stocks'!AD196+'Tous détail Stocks'!AK196+'Tous détail Stocks'!AR196</x:f>
        <x:v>928776731748.8143</x:v>
      </x:c>
      <x:c r="J56" s="9">
        <x:v>51</x:v>
      </x:c>
      <x:c r="K56" s="12" t="n">
        <x:f>EOMONTH(K55,1)</x:f>
        <x:v>47756</x:v>
      </x:c>
      <x:c r="L56" s="15" t="n">
        <x:f>'Tous détail Stocks'!F202+'Tous détail Stocks'!N202+'Tous détail Stocks'!V202+'Tous détail Stocks'!AC202+'Tous détail Stocks'!AJ202+'Tous détail Stocks'!AQ202</x:f>
        <x:v>231588051811.22888</x:v>
      </x:c>
      <x:c r="M56" s="15">
        <x:v>1766459066023.2395</x:v>
      </x:c>
      <x:c r="N56" s="27">
        <x:f t="shared" si="8"/>
        <x:v>1998047117834.4683</x:v>
      </x:c>
    </x:row>
    <x:row r="57">
      <x:c r="B57" s="9">
        <x:v>52</x:v>
      </x:c>
      <x:c r="C57" s="12">
        <x:f t="shared" si="9"/>
        <x:v>47603</x:v>
      </x:c>
      <x:c r="D57" s="15">
        <x:f t="shared" si="5"/>
        <x:v>1181986935772.2563</x:v>
      </x:c>
      <x:c r="E57" s="18">
        <x:f t="shared" si="6"/>
        <x:v>0.211030677507547</x:v>
      </x:c>
      <x:c r="F57" s="18">
        <x:f t="shared" si="7"/>
        <x:v>0.788969322492453</x:v>
      </x:c>
      <x:c r="G57" s="21" t="n">
        <x:f>'Tous détail Stocks'!F197+'Tous détail Stocks'!N197+'Tous détail Stocks'!V197+'Tous détail Stocks'!AC197+'Tous détail Stocks'!AJ197+'Tous détail Stocks'!AQ197</x:f>
        <x:v>249435503861.0887</x:v>
      </x:c>
      <x:c r="H57" s="24" t="n">
        <x:f>'Tous détail Stocks'!G197+'Tous détail Stocks'!O197+'Tous détail Stocks'!W197+'Tous détail Stocks'!AD197+'Tous détail Stocks'!AK197+'Tous détail Stocks'!AR197</x:f>
        <x:v>932551431911.1676</x:v>
      </x:c>
      <x:c r="J57" s="9">
        <x:v>52</x:v>
      </x:c>
      <x:c r="K57" s="12">
        <x:v>47787</x:v>
      </x:c>
      <x:c r="L57" s="15" t="n">
        <x:f>'Tous détail Stocks'!F203+'Tous détail Stocks'!N203+'Tous détail Stocks'!V203+'Tous détail Stocks'!AC203+'Tous détail Stocks'!AJ203+'Tous détail Stocks'!AQ203</x:f>
        <x:v>228208501285.049</x:v>
      </x:c>
      <x:c r="M57" s="15">
        <x:v>1649124243970.9885</x:v>
      </x:c>
      <x:c r="N57" s="27">
        <x:f t="shared" si="8"/>
        <x:v>1877332745256.0376</x:v>
      </x:c>
    </x:row>
    <x:row r="58">
      <x:c r="B58" s="9">
        <x:v>53</x:v>
      </x:c>
      <x:c r="C58" s="12">
        <x:f t="shared" si="9"/>
        <x:v>47634</x:v>
      </x:c>
      <x:c r="D58" s="15">
        <x:f t="shared" si="5"/>
        <x:v>1181986935772.2563</x:v>
      </x:c>
      <x:c r="E58" s="18">
        <x:f t="shared" si="6"/>
        <x:v>0.20789767931265601</x:v>
      </x:c>
      <x:c r="F58" s="18">
        <x:f t="shared" si="7"/>
        <x:v>0.79210232068734399</x:v>
      </x:c>
      <x:c r="G58" s="21" t="n">
        <x:f>'Tous détail Stocks'!F198+'Tous détail Stocks'!N198+'Tous détail Stocks'!V198+'Tous détail Stocks'!AC198+'Tous détail Stocks'!AJ198+'Tous détail Stocks'!AQ198</x:f>
        <x:v>245732340924.9295</x:v>
      </x:c>
      <x:c r="H58" s="24" t="n">
        <x:f>'Tous détail Stocks'!G198+'Tous détail Stocks'!O198+'Tous détail Stocks'!W198+'Tous détail Stocks'!AD198+'Tous détail Stocks'!AK198+'Tous détail Stocks'!AR198</x:f>
        <x:v>936254594847.3269</x:v>
      </x:c>
      <x:c r="J58" s="9">
        <x:v>53</x:v>
      </x:c>
      <x:c r="K58" s="12">
        <x:v>47817</x:v>
      </x:c>
      <x:c r="L58" s="15" t="n">
        <x:f>'Tous détail Stocks'!F204+'Tous détail Stocks'!N204+'Tous détail Stocks'!V204+'Tous détail Stocks'!AC204+'Tous détail Stocks'!AJ204+'Tous détail Stocks'!AQ204</x:f>
        <x:v>224887750395.8326</x:v>
      </x:c>
      <x:c r="M58" s="15">
        <x:v>1682247935895.5139</x:v>
      </x:c>
      <x:c r="N58" s="27">
        <x:f t="shared" si="8"/>
        <x:v>1907135686291.3464</x:v>
      </x:c>
    </x:row>
    <x:row r="59">
      <x:c r="B59" s="9">
        <x:v>54</x:v>
      </x:c>
      <x:c r="C59" s="12">
        <x:f t="shared" si="9"/>
        <x:v>47664</x:v>
      </x:c>
      <x:c r="D59" s="15">
        <x:f t="shared" si="5"/>
        <x:v>1181986935772.2563</x:v>
      </x:c>
      <x:c r="E59" s="18">
        <x:f t="shared" si="6"/>
        <x:v>0.20482312423720675</x:v>
      </x:c>
      <x:c r="F59" s="18">
        <x:f t="shared" si="7"/>
        <x:v>0.79517687576279328</x:v>
      </x:c>
      <x:c r="G59" s="21" t="n">
        <x:f>'Tous détail Stocks'!F199+'Tous détail Stocks'!N199+'Tous détail Stocks'!V199+'Tous détail Stocks'!AC199+'Tous détail Stocks'!AJ199+'Tous détail Stocks'!AQ199</x:f>
        <x:v>242098256992.4362</x:v>
      </x:c>
      <x:c r="H59" s="24" t="n">
        <x:f>'Tous détail Stocks'!G199+'Tous détail Stocks'!O199+'Tous détail Stocks'!W199+'Tous détail Stocks'!AD199+'Tous détail Stocks'!AK199+'Tous détail Stocks'!AR199</x:f>
        <x:v>939888678779.8202</x:v>
      </x:c>
      <x:c r="J59" s="9">
        <x:v>54</x:v>
      </x:c>
      <x:c r="K59" s="12">
        <x:v>47848</x:v>
      </x:c>
      <x:c r="L59" s="15" t="n">
        <x:f>'Tous détail Stocks'!F205+'Tous détail Stocks'!N205+'Tous détail Stocks'!V205+'Tous détail Stocks'!AC205+'Tous détail Stocks'!AJ205+'Tous détail Stocks'!AQ205</x:f>
        <x:v>221624079645.37717</x:v>
      </x:c>
      <x:c r="M59" s="15">
        <x:v>1702421073017.0854</x:v>
      </x:c>
      <x:c r="N59" s="27">
        <x:f t="shared" si="8"/>
        <x:v>1924045152662.4626</x:v>
      </x:c>
    </x:row>
    <x:row r="60">
      <x:c r="B60" s="9">
        <x:v>55</x:v>
      </x:c>
      <x:c r="C60" s="12">
        <x:f t="shared" si="9"/>
        <x:v>47695</x:v>
      </x:c>
      <x:c r="D60" s="15">
        <x:f t="shared" si="5"/>
        <x:v>1181986935772.2563</x:v>
      </x:c>
      <x:c r="E60" s="18">
        <x:f t="shared" si="6"/>
        <x:v>0.20180505778034155</x:v>
      </x:c>
      <x:c r="F60" s="18">
        <x:f t="shared" si="7"/>
        <x:v>0.79819494221965837</x:v>
      </x:c>
      <x:c r="G60" s="21" t="n">
        <x:f>'Tous détail Stocks'!F200+'Tous détail Stocks'!N200+'Tous détail Stocks'!V200+'Tous détail Stocks'!AC200+'Tous détail Stocks'!AJ200+'Tous détail Stocks'!AQ200</x:f>
        <x:v>238530941869.12906</x:v>
      </x:c>
      <x:c r="H60" s="24" t="n">
        <x:f>'Tous détail Stocks'!G200+'Tous détail Stocks'!O200+'Tous détail Stocks'!W200+'Tous détail Stocks'!AD200+'Tous détail Stocks'!AK200+'Tous détail Stocks'!AR200</x:f>
        <x:v>943455993903.1272</x:v>
      </x:c>
      <x:c r="J60" s="9">
        <x:v>55</x:v>
      </x:c>
      <x:c r="K60" s="12">
        <x:v>47879</x:v>
      </x:c>
      <x:c r="L60" s="15" t="n">
        <x:f>'Tous détail Stocks'!F206+'Tous détail Stocks'!N206+'Tous détail Stocks'!V206+'Tous détail Stocks'!AC206+'Tous détail Stocks'!AJ206+'Tous détail Stocks'!AQ206</x:f>
        <x:v>218415863058.86655</x:v>
      </x:c>
      <x:c r="M60" s="15">
        <x:v>1718397883942.2678</x:v>
      </x:c>
      <x:c r="N60" s="27">
        <x:f t="shared" si="8"/>
        <x:v>1936813747001.1343</x:v>
      </x:c>
    </x:row>
    <x:row r="61">
      <x:c r="B61" s="9">
        <x:v>56</x:v>
      </x:c>
      <x:c r="C61" s="12">
        <x:f t="shared" si="9"/>
        <x:v>47726</x:v>
      </x:c>
      <x:c r="D61" s="15">
        <x:f t="shared" si="5"/>
        <x:v>1181986935772.2563</x:v>
      </x:c>
      <x:c r="E61" s="18">
        <x:f t="shared" si="6"/>
        <x:v>0.19884164130131685</x:v>
      </x:c>
      <x:c r="F61" s="18">
        <x:f t="shared" si="7"/>
        <x:v>0.80115835869868313</x:v>
      </x:c>
      <x:c r="G61" s="21" t="n">
        <x:f>'Tous détail Stocks'!F201+'Tous détail Stocks'!N201+'Tous détail Stocks'!V201+'Tous détail Stocks'!AC201+'Tous détail Stocks'!AJ201+'Tous détail Stocks'!AQ201</x:f>
        <x:v>235028222305.66962</x:v>
      </x:c>
      <x:c r="H61" s="24" t="n">
        <x:f>'Tous détail Stocks'!G201+'Tous détail Stocks'!O201+'Tous détail Stocks'!W201+'Tous détail Stocks'!AD201+'Tous détail Stocks'!AK201+'Tous détail Stocks'!AR201</x:f>
        <x:v>946958713466.5867</x:v>
      </x:c>
      <x:c r="J61" s="9">
        <x:v>56</x:v>
      </x:c>
      <x:c r="K61" s="12">
        <x:v>47907</x:v>
      </x:c>
      <x:c r="L61" s="15" t="n">
        <x:f>'Tous détail Stocks'!F207+'Tous détail Stocks'!N207+'Tous détail Stocks'!V207+'Tous détail Stocks'!AC207+'Tous détail Stocks'!AJ207+'Tous détail Stocks'!AQ207</x:f>
        <x:v>215261561449.55508</x:v>
      </x:c>
      <x:c r="M61" s="15">
        <x:v>1694899234469.5076</x:v>
      </x:c>
      <x:c r="N61" s="27">
        <x:f t="shared" si="8"/>
        <x:v>1910160795919.0627</x:v>
      </x:c>
    </x:row>
    <x:row r="62">
      <x:c r="B62" s="9">
        <x:v>57</x:v>
      </x:c>
      <x:c r="C62" s="12">
        <x:f t="shared" si="9"/>
        <x:v>47756</x:v>
      </x:c>
      <x:c r="D62" s="15">
        <x:f t="shared" si="5"/>
        <x:v>1181986935772.2563</x:v>
      </x:c>
      <x:c r="E62" s="18">
        <x:f t="shared" si="6"/>
        <x:v>0.1959311434012761</x:v>
      </x:c>
      <x:c r="F62" s="18">
        <x:f t="shared" si="7"/>
        <x:v>0.80406885659872396</x:v>
      </x:c>
      <x:c r="G62" s="21" t="n">
        <x:f>'Tous détail Stocks'!F202+'Tous détail Stocks'!N202+'Tous détail Stocks'!V202+'Tous détail Stocks'!AC202+'Tous détail Stocks'!AJ202+'Tous détail Stocks'!AQ202</x:f>
        <x:v>231588051811.22888</x:v>
      </x:c>
      <x:c r="H62" s="24" t="n">
        <x:f>'Tous détail Stocks'!G202+'Tous détail Stocks'!O202+'Tous détail Stocks'!W202+'Tous détail Stocks'!AD202+'Tous détail Stocks'!AK202+'Tous détail Stocks'!AR202</x:f>
        <x:v>950398883961.0276</x:v>
      </x:c>
      <x:c r="J62" s="9">
        <x:v>57</x:v>
      </x:c>
      <x:c r="K62" s="12">
        <x:v>47938</x:v>
      </x:c>
      <x:c r="L62" s="15" t="n">
        <x:f>'Tous détail Stocks'!F208+'Tous détail Stocks'!N208+'Tous détail Stocks'!V208+'Tous détail Stocks'!AC208+'Tous détail Stocks'!AJ208+'Tous détail Stocks'!AQ208</x:f>
        <x:v>212159716210.3273</x:v>
      </x:c>
      <x:c r="M62" s="15">
        <x:v>1657733304988.7651</x:v>
      </x:c>
      <x:c r="N62" s="27">
        <x:f t="shared" si="8"/>
        <x:v>1869893021199.0925</x:v>
      </x:c>
    </x:row>
    <x:row r="63">
      <x:c r="B63" s="9">
        <x:v>58</x:v>
      </x:c>
      <x:c r="C63" s="12">
        <x:f t="shared" si="9"/>
        <x:v>47787</x:v>
      </x:c>
      <x:c r="D63" s="15">
        <x:f t="shared" si="5"/>
        <x:v>1181986935772.2563</x:v>
      </x:c>
      <x:c r="E63" s="18">
        <x:f t="shared" si="6"/>
        <x:v>0.19307193199724157</x:v>
      </x:c>
      <x:c r="F63" s="18">
        <x:f t="shared" si="7"/>
        <x:v>0.8069280680027584</x:v>
      </x:c>
      <x:c r="G63" s="21" t="n">
        <x:f>'Tous détail Stocks'!F203+'Tous détail Stocks'!N203+'Tous détail Stocks'!V203+'Tous détail Stocks'!AC203+'Tous détail Stocks'!AJ203+'Tous détail Stocks'!AQ203</x:f>
        <x:v>228208501285.049</x:v>
      </x:c>
      <x:c r="H63" s="24" t="n">
        <x:f>'Tous détail Stocks'!G203+'Tous détail Stocks'!O203+'Tous détail Stocks'!W203+'Tous détail Stocks'!AD203+'Tous détail Stocks'!AK203+'Tous détail Stocks'!AR203</x:f>
        <x:v>953778434487.2073</x:v>
      </x:c>
      <x:c r="J63" s="9">
        <x:v>58</x:v>
      </x:c>
      <x:c r="K63" s="12">
        <x:v>47968</x:v>
      </x:c>
      <x:c r="L63" s="15" t="n">
        <x:f>'Tous détail Stocks'!F209+'Tous détail Stocks'!N209+'Tous détail Stocks'!V209+'Tous détail Stocks'!AC209+'Tous détail Stocks'!AJ209+'Tous détail Stocks'!AQ209</x:f>
        <x:v>209108943588.864</x:v>
      </x:c>
      <x:c r="M63" s="15">
        <x:v>1724103968039.1357</x:v>
      </x:c>
      <x:c r="N63" s="27">
        <x:f t="shared" si="8"/>
        <x:v>1933212911627.9998</x:v>
      </x:c>
    </x:row>
    <x:row r="64">
      <x:c r="B64" s="9">
        <x:v>59</x:v>
      </x:c>
      <x:c r="C64" s="12">
        <x:f t="shared" si="9"/>
        <x:v>47817</x:v>
      </x:c>
      <x:c r="D64" s="15">
        <x:f t="shared" si="5"/>
        <x:v>1181986935772.2563</x:v>
      </x:c>
      <x:c r="E64" s="18">
        <x:f t="shared" si="6"/>
        <x:v>0.19026246702879268</x:v>
      </x:c>
      <x:c r="F64" s="18">
        <x:f t="shared" si="7"/>
        <x:v>0.80973753297120732</x:v>
      </x:c>
      <x:c r="G64" s="21" t="n">
        <x:f>'Tous détail Stocks'!F204+'Tous détail Stocks'!N204+'Tous détail Stocks'!V204+'Tous détail Stocks'!AC204+'Tous détail Stocks'!AJ204+'Tous détail Stocks'!AQ204</x:f>
        <x:v>224887750395.8326</x:v>
      </x:c>
      <x:c r="H64" s="24" t="n">
        <x:f>'Tous détail Stocks'!G204+'Tous détail Stocks'!O204+'Tous détail Stocks'!W204+'Tous détail Stocks'!AD204+'Tous détail Stocks'!AK204+'Tous détail Stocks'!AR204</x:f>
        <x:v>957099185376.4237</x:v>
      </x:c>
      <x:c r="J64" s="9">
        <x:v>59</x:v>
      </x:c>
      <x:c r="K64" s="12">
        <x:v>47999</x:v>
      </x:c>
      <x:c r="L64" s="15" t="n">
        <x:f>'Tous détail Stocks'!F210+'Tous détail Stocks'!N210+'Tous détail Stocks'!V210+'Tous détail Stocks'!AC210+'Tous détail Stocks'!AJ210+'Tous détail Stocks'!AQ210</x:f>
        <x:v>206107929406.96176</x:v>
      </x:c>
      <x:c r="M64" s="15">
        <x:v>1679296361458.1426</x:v>
      </x:c>
      <x:c r="N64" s="27">
        <x:f t="shared" si="8"/>
        <x:v>1885404290865.1042</x:v>
      </x:c>
    </x:row>
    <x:row r="65">
      <x:c r="B65" s="9">
        <x:v>60</x:v>
      </x:c>
      <x:c r="C65" s="12">
        <x:f t="shared" si="9"/>
        <x:v>47848</x:v>
      </x:c>
      <x:c r="D65" s="15">
        <x:f t="shared" si="5"/>
        <x:v>1181986935772.2563</x:v>
      </x:c>
      <x:c r="E65" s="18">
        <x:f t="shared" si="6"/>
        <x:v>0.18750129374363864</x:v>
      </x:c>
      <x:c r="F65" s="18">
        <x:f t="shared" si="7"/>
        <x:v>0.81249870625636134</x:v>
      </x:c>
      <x:c r="G65" s="21" t="n">
        <x:f>'Tous détail Stocks'!F205+'Tous détail Stocks'!N205+'Tous détail Stocks'!V205+'Tous détail Stocks'!AC205+'Tous détail Stocks'!AJ205+'Tous détail Stocks'!AQ205</x:f>
        <x:v>221624079645.37717</x:v>
      </x:c>
      <x:c r="H65" s="24" t="n">
        <x:f>'Tous détail Stocks'!G205+'Tous détail Stocks'!O205+'Tous détail Stocks'!W205+'Tous détail Stocks'!AD205+'Tous détail Stocks'!AK205+'Tous détail Stocks'!AR205</x:f>
        <x:v>960362856126.8792</x:v>
      </x:c>
      <x:c r="J65" s="9">
        <x:v>60</x:v>
      </x:c>
      <x:c r="K65" s="12">
        <x:v>48029</x:v>
      </x:c>
      <x:c r="L65" s="15" t="n">
        <x:f>'Tous détail Stocks'!F211+'Tous détail Stocks'!N211+'Tous détail Stocks'!V211+'Tous détail Stocks'!AC211+'Tous détail Stocks'!AJ211+'Tous détail Stocks'!AQ211</x:f>
        <x:v>203155424187.9869</x:v>
      </x:c>
      <x:c r="M65" s="15">
        <x:v>2116980286575.1226</x:v>
      </x:c>
      <x:c r="N65" s="27">
        <x:f t="shared" si="8"/>
        <x:v>2320135710763.1094</x:v>
      </x:c>
    </x:row>
    <x:row r="66">
      <x:c r="B66" s="9">
        <x:v>61</x:v>
      </x:c>
      <x:c r="C66" s="12">
        <x:f t="shared" si="9"/>
        <x:v>47879</x:v>
      </x:c>
      <x:c r="D66" s="15">
        <x:f t="shared" si="5"/>
        <x:v>1181986935772.2563</x:v>
      </x:c>
      <x:c r="E66" s="18">
        <x:f t="shared" si="6"/>
        <x:v>0.18478703651336348</x:v>
      </x:c>
      <x:c r="F66" s="18">
        <x:f t="shared" si="7"/>
        <x:v>0.81521296348663663</x:v>
      </x:c>
      <x:c r="G66" s="21" t="n">
        <x:f>'Tous détail Stocks'!F206+'Tous détail Stocks'!N206+'Tous détail Stocks'!V206+'Tous détail Stocks'!AC206+'Tous détail Stocks'!AJ206+'Tous détail Stocks'!AQ206</x:f>
        <x:v>218415863058.86655</x:v>
      </x:c>
      <x:c r="H66" s="24" t="n">
        <x:f>'Tous détail Stocks'!G206+'Tous détail Stocks'!O206+'Tous détail Stocks'!W206+'Tous détail Stocks'!AD206+'Tous détail Stocks'!AK206+'Tous détail Stocks'!AR206</x:f>
        <x:v>963571072713.3899</x:v>
      </x:c>
      <x:c r="J66" s="9">
        <x:v>61</x:v>
      </x:c>
      <x:c r="K66" s="12">
        <x:v>48060</x:v>
      </x:c>
      <x:c r="L66" s="15" t="n">
        <x:f>'Tous détail Stocks'!F212+'Tous détail Stocks'!N212+'Tous détail Stocks'!V212+'Tous détail Stocks'!AC212+'Tous détail Stocks'!AJ212+'Tous détail Stocks'!AQ212</x:f>
        <x:v>200250238659.54706</x:v>
      </x:c>
      <x:c r="M66" s="15">
        <x:v>1786587015387.9167</x:v>
      </x:c>
      <x:c r="N66" s="27">
        <x:f t="shared" si="8"/>
        <x:v>1986837254047.4639</x:v>
      </x:c>
    </x:row>
    <x:row r="67">
      <x:c r="B67" s="9">
        <x:v>62</x:v>
      </x:c>
      <x:c r="C67" s="12">
        <x:f t="shared" si="9"/>
        <x:v>47907</x:v>
      </x:c>
      <x:c r="D67" s="15">
        <x:f t="shared" si="5"/>
        <x:v>1181986935772.2563</x:v>
      </x:c>
      <x:c r="E67" s="18">
        <x:f t="shared" si="6"/>
        <x:v>0.18211839313512632</x:v>
      </x:c>
      <x:c r="F67" s="18">
        <x:f t="shared" si="7"/>
        <x:v>0.81788160686487366</x:v>
      </x:c>
      <x:c r="G67" s="21" t="n">
        <x:f>'Tous détail Stocks'!F207+'Tous détail Stocks'!N207+'Tous détail Stocks'!V207+'Tous détail Stocks'!AC207+'Tous détail Stocks'!AJ207+'Tous détail Stocks'!AQ207</x:f>
        <x:v>215261561449.55508</x:v>
      </x:c>
      <x:c r="H67" s="24" t="n">
        <x:f>'Tous détail Stocks'!G207+'Tous détail Stocks'!O207+'Tous détail Stocks'!W207+'Tous détail Stocks'!AD207+'Tous détail Stocks'!AK207+'Tous détail Stocks'!AR207</x:f>
        <x:v>966725374322.7013</x:v>
      </x:c>
      <x:c r="J67" s="9">
        <x:v>62</x:v>
      </x:c>
      <x:c r="K67" s="12">
        <x:v>48091</x:v>
      </x:c>
      <x:c r="L67" s="15" t="n">
        <x:f>'Tous détail Stocks'!F213+'Tous détail Stocks'!N213+'Tous détail Stocks'!V213+'Tous détail Stocks'!AC213+'Tous détail Stocks'!AJ213+'Tous détail Stocks'!AQ213</x:f>
        <x:v>197391239601.26746</x:v>
      </x:c>
      <x:c r="M67" s="15">
        <x:v>1552733379859.7163</x:v>
      </x:c>
      <x:c r="N67" s="27">
        <x:f t="shared" si="8"/>
        <x:v>1750124619460.9839</x:v>
      </x:c>
    </x:row>
    <x:row r="68">
      <x:c r="B68" s="9">
        <x:v>63</x:v>
      </x:c>
      <x:c r="C68" s="12">
        <x:f t="shared" si="9"/>
        <x:v>47938</x:v>
      </x:c>
      <x:c r="D68" s="15">
        <x:f t="shared" si="5"/>
        <x:v>1181986935772.2563</x:v>
      </x:c>
      <x:c r="E68" s="18">
        <x:f t="shared" si="6"/>
        <x:v>0.1794941295791157</x:v>
      </x:c>
      <x:c r="F68" s="18">
        <x:f t="shared" si="7"/>
        <x:v>0.8205058704208843</x:v>
      </x:c>
      <x:c r="G68" s="21" t="n">
        <x:f>'Tous détail Stocks'!F208+'Tous détail Stocks'!N208+'Tous détail Stocks'!V208+'Tous détail Stocks'!AC208+'Tous détail Stocks'!AJ208+'Tous détail Stocks'!AQ208</x:f>
        <x:v>212159716210.3273</x:v>
      </x:c>
      <x:c r="H68" s="24" t="n">
        <x:f>'Tous détail Stocks'!G208+'Tous détail Stocks'!O208+'Tous détail Stocks'!W208+'Tous détail Stocks'!AD208+'Tous détail Stocks'!AK208+'Tous détail Stocks'!AR208</x:f>
        <x:v>969827219561.9291</x:v>
      </x:c>
      <x:c r="J68" s="9">
        <x:v>63</x:v>
      </x:c>
      <x:c r="K68" s="12">
        <x:v>48121</x:v>
      </x:c>
      <x:c r="L68" s="15" t="n">
        <x:f>'Tous détail Stocks'!F214+'Tous détail Stocks'!N214+'Tous détail Stocks'!V214+'Tous détail Stocks'!AC214+'Tous détail Stocks'!AJ214+'Tous détail Stocks'!AQ214</x:f>
        <x:v>194577346010.10257</x:v>
      </x:c>
      <x:c r="M68" s="15">
        <x:v>1796608624503.5579</x:v>
      </x:c>
      <x:c r="N68" s="27">
        <x:f t="shared" si="8"/>
        <x:v>1991185970513.6604</x:v>
      </x:c>
    </x:row>
    <x:row r="69">
      <x:c r="B69" s="9">
        <x:v>64</x:v>
      </x:c>
      <x:c r="C69" s="12">
        <x:f t="shared" si="9"/>
        <x:v>47968</x:v>
      </x:c>
      <x:c r="D69" s="15">
        <x:f t="shared" si="5"/>
        <x:v>1181986935772.2563</x:v>
      </x:c>
      <x:c r="E69" s="18">
        <x:f t="shared" si="6"/>
        <x:v>0.17691307514515106</x:v>
      </x:c>
      <x:c r="F69" s="18">
        <x:f t="shared" si="7"/>
        <x:v>0.82308692485484891</x:v>
      </x:c>
      <x:c r="G69" s="21" t="n">
        <x:f>'Tous détail Stocks'!F209+'Tous détail Stocks'!N209+'Tous détail Stocks'!V209+'Tous détail Stocks'!AC209+'Tous détail Stocks'!AJ209+'Tous détail Stocks'!AQ209</x:f>
        <x:v>209108943588.864</x:v>
      </x:c>
      <x:c r="H69" s="24" t="n">
        <x:f>'Tous détail Stocks'!G209+'Tous détail Stocks'!O209+'Tous détail Stocks'!W209+'Tous détail Stocks'!AD209+'Tous détail Stocks'!AK209+'Tous détail Stocks'!AR209</x:f>
        <x:v>972877992183.3923</x:v>
      </x:c>
      <x:c r="J69" s="9">
        <x:v>64</x:v>
      </x:c>
      <x:c r="K69" s="12">
        <x:v>48152</x:v>
      </x:c>
      <x:c r="L69" s="15" t="n">
        <x:f>'Tous détail Stocks'!F215+'Tous détail Stocks'!N215+'Tous détail Stocks'!V215+'Tous détail Stocks'!AC215+'Tous détail Stocks'!AJ215+'Tous détail Stocks'!AQ215</x:f>
        <x:v>191807525557.92267</x:v>
      </x:c>
      <x:c r="M69" s="15">
        <x:v>1678314036216.73</x:v>
      </x:c>
      <x:c r="N69" s="27">
        <x:f t="shared" si="8"/>
        <x:v>1870121561774.6526</x:v>
      </x:c>
    </x:row>
    <x:row r="70">
      <x:c r="B70" s="9">
        <x:v>65</x:v>
      </x:c>
      <x:c r="C70" s="12">
        <x:f t="shared" si="9"/>
        <x:v>47999</x:v>
      </x:c>
      <x:c r="D70" s="15" t="n">
        <x:f t="shared" ref="D70:D96" si="10">G70+H70</x:f>
        <x:v>1181986935772.2563</x:v>
      </x:c>
      <x:c r="E70" s="18" t="n">
        <x:f t="shared" ref="E70:E96" si="11">G70/D70</x:f>
        <x:v>0.1743741179950523</x:v>
      </x:c>
      <x:c r="F70" s="18" t="n">
        <x:f t="shared" ref="F70:F96" si="12">H70/D70</x:f>
        <x:v>0.8256258820049478</x:v>
      </x:c>
      <x:c r="G70" s="21" t="n">
        <x:f>'Tous détail Stocks'!F210+'Tous détail Stocks'!N210+'Tous détail Stocks'!V210+'Tous détail Stocks'!AC210+'Tous détail Stocks'!AJ210+'Tous détail Stocks'!AQ210</x:f>
        <x:v>206107929406.96176</x:v>
      </x:c>
      <x:c r="H70" s="24" t="n">
        <x:f>'Tous détail Stocks'!G210+'Tous détail Stocks'!O210+'Tous détail Stocks'!W210+'Tous détail Stocks'!AD210+'Tous détail Stocks'!AK210+'Tous détail Stocks'!AR210</x:f>
        <x:v>975879006365.2947</x:v>
      </x:c>
      <x:c r="J70" s="9">
        <x:v>65</x:v>
      </x:c>
      <x:c r="K70" s="12">
        <x:v>48182</x:v>
      </x:c>
      <x:c r="L70" s="15" t="n">
        <x:f>'Tous détail Stocks'!F216+'Tous détail Stocks'!N216+'Tous détail Stocks'!V216+'Tous détail Stocks'!AC216+'Tous détail Stocks'!AJ216+'Tous détail Stocks'!AQ216</x:f>
        <x:v>189080791318.21268</x:v>
      </x:c>
      <x:c r="M70" s="15">
        <x:v>1711348475958.687</x:v>
      </x:c>
      <x:c r="N70" s="27" t="n">
        <x:f t="shared" ref="N70:N96" si="13">L70+M70</x:f>
        <x:v>1900429267276.8997</x:v>
      </x:c>
    </x:row>
    <x:row r="71">
      <x:c r="B71" s="9">
        <x:v>66</x:v>
      </x:c>
      <x:c r="C71" s="12" t="n">
        <x:f t="shared" ref="C71:C96" si="14">EOMONTH(C70,1)</x:f>
        <x:v>48029</x:v>
      </x:c>
      <x:c r="D71" s="15">
        <x:f t="shared" si="10"/>
        <x:v>1181986935772.2563</x:v>
      </x:c>
      <x:c r="E71" s="18">
        <x:f t="shared" si="11"/>
        <x:v>0.17187620103030532</x:v>
      </x:c>
      <x:c r="F71" s="18">
        <x:f t="shared" si="12"/>
        <x:v>0.82812379896969468</x:v>
      </x:c>
      <x:c r="G71" s="21" t="n">
        <x:f>'Tous détail Stocks'!F211+'Tous détail Stocks'!N211+'Tous détail Stocks'!V211+'Tous détail Stocks'!AC211+'Tous détail Stocks'!AJ211+'Tous détail Stocks'!AQ211</x:f>
        <x:v>203155424187.9869</x:v>
      </x:c>
      <x:c r="H71" s="24" t="n">
        <x:f>'Tous détail Stocks'!G211+'Tous détail Stocks'!O211+'Tous détail Stocks'!W211+'Tous détail Stocks'!AD211+'Tous détail Stocks'!AK211+'Tous détail Stocks'!AR211</x:f>
        <x:v>978831511584.2694</x:v>
      </x:c>
      <x:c r="J71" s="9">
        <x:v>66</x:v>
      </x:c>
      <x:c r="K71" s="12">
        <x:v>48213</x:v>
      </x:c>
      <x:c r="L71" s="15" t="n">
        <x:f>'Tous détail Stocks'!F217+'Tous détail Stocks'!N217+'Tous détail Stocks'!V217+'Tous détail Stocks'!AC217+'Tous détail Stocks'!AJ217+'Tous détail Stocks'!AQ217</x:f>
        <x:v>186396198740.63422</x:v>
      </x:c>
      <x:c r="M71" s="15">
        <x:v>1731836527133.8982</x:v>
      </x:c>
      <x:c r="N71" s="27">
        <x:f t="shared" si="13"/>
        <x:v>1918232725874.5325</x:v>
      </x:c>
    </x:row>
    <x:row r="72">
      <x:c r="B72" s="9">
        <x:v>67</x:v>
      </x:c>
      <x:c r="C72" s="12">
        <x:f t="shared" si="14"/>
        <x:v>48060</x:v>
      </x:c>
      <x:c r="D72" s="15">
        <x:f t="shared" si="10"/>
        <x:v>1181986935772.2566</x:v>
      </x:c>
      <x:c r="E72" s="18">
        <x:f t="shared" si="11"/>
        <x:v>0.16941831808717298</x:v>
      </x:c>
      <x:c r="F72" s="18">
        <x:f t="shared" si="12"/>
        <x:v>0.830581681912827</x:v>
      </x:c>
      <x:c r="G72" s="21" t="n">
        <x:f>'Tous détail Stocks'!F212+'Tous détail Stocks'!N212+'Tous détail Stocks'!V212+'Tous détail Stocks'!AC212+'Tous détail Stocks'!AJ212+'Tous détail Stocks'!AQ212</x:f>
        <x:v>200250238659.54706</x:v>
      </x:c>
      <x:c r="H72" s="24" t="n">
        <x:f>'Tous détail Stocks'!G212+'Tous détail Stocks'!O212+'Tous détail Stocks'!W212+'Tous détail Stocks'!AD212+'Tous détail Stocks'!AK212+'Tous détail Stocks'!AR212</x:f>
        <x:v>981736697112.7095</x:v>
      </x:c>
      <x:c r="J72" s="9">
        <x:v>67</x:v>
      </x:c>
      <x:c r="K72" s="12">
        <x:v>48244</x:v>
      </x:c>
      <x:c r="L72" s="15" t="n">
        <x:f>'Tous détail Stocks'!F218+'Tous détail Stocks'!N218+'Tous détail Stocks'!V218+'Tous détail Stocks'!AC218+'Tous détail Stocks'!AJ218+'Tous détail Stocks'!AQ218</x:f>
        <x:v>183752842853.94308</x:v>
      </x:c>
      <x:c r="M72" s="15">
        <x:v>1748717829492.8022</x:v>
      </x:c>
      <x:c r="N72" s="27">
        <x:f t="shared" si="13"/>
        <x:v>1932470672346.7454</x:v>
      </x:c>
    </x:row>
    <x:row r="73">
      <x:c r="B73" s="9">
        <x:v>68</x:v>
      </x:c>
      <x:c r="C73" s="12">
        <x:f t="shared" si="14"/>
        <x:v>48091</x:v>
      </x:c>
      <x:c r="D73" s="15">
        <x:f t="shared" si="10"/>
        <x:v>1181986935772.2563</x:v>
      </x:c>
      <x:c r="E73" s="18">
        <x:f t="shared" si="11"/>
        <x:v>0.16699951042377725</x:v>
      </x:c>
      <x:c r="F73" s="18">
        <x:f t="shared" si="12"/>
        <x:v>0.83300048957622286</x:v>
      </x:c>
      <x:c r="G73" s="21" t="n">
        <x:f>'Tous détail Stocks'!F213+'Tous détail Stocks'!N213+'Tous détail Stocks'!V213+'Tous détail Stocks'!AC213+'Tous détail Stocks'!AJ213+'Tous détail Stocks'!AQ213</x:f>
        <x:v>197391239601.26746</x:v>
      </x:c>
      <x:c r="H73" s="24" t="n">
        <x:f>'Tous détail Stocks'!G213+'Tous détail Stocks'!O213+'Tous détail Stocks'!W213+'Tous détail Stocks'!AD213+'Tous détail Stocks'!AK213+'Tous détail Stocks'!AR213</x:f>
        <x:v>984595696170.989</x:v>
      </x:c>
      <x:c r="J73" s="9">
        <x:v>68</x:v>
      </x:c>
      <x:c r="K73" s="12">
        <x:v>48273</x:v>
      </x:c>
      <x:c r="L73" s="15" t="n">
        <x:f>'Tous détail Stocks'!F219+'Tous détail Stocks'!N219+'Tous détail Stocks'!V219+'Tous détail Stocks'!AC219+'Tous détail Stocks'!AJ219+'Tous détail Stocks'!AQ219</x:f>
        <x:v>181149855679.34622</x:v>
      </x:c>
      <x:c r="M73" s="15">
        <x:v>1724345124516.0215</x:v>
      </x:c>
      <x:c r="N73" s="27">
        <x:f t="shared" si="13"/>
        <x:v>1905494980195.3677</x:v>
      </x:c>
    </x:row>
    <x:row r="74">
      <x:c r="B74" s="9">
        <x:v>69</x:v>
      </x:c>
      <x:c r="C74" s="12">
        <x:f t="shared" si="14"/>
        <x:v>48121</x:v>
      </x:c>
      <x:c r="D74" s="15">
        <x:f t="shared" si="10"/>
        <x:v>1181986935772.2563</x:v>
      </x:c>
      <x:c r="E74" s="18">
        <x:f t="shared" si="11"/>
        <x:v>0.16461886347582566</x:v>
      </x:c>
      <x:c r="F74" s="18">
        <x:f t="shared" si="12"/>
        <x:v>0.83538113652417434</x:v>
      </x:c>
      <x:c r="G74" s="21" t="n">
        <x:f>'Tous détail Stocks'!F214+'Tous détail Stocks'!N214+'Tous détail Stocks'!V214+'Tous détail Stocks'!AC214+'Tous détail Stocks'!AJ214+'Tous détail Stocks'!AQ214</x:f>
        <x:v>194577346010.10257</x:v>
      </x:c>
      <x:c r="H74" s="24" t="n">
        <x:f>'Tous détail Stocks'!G214+'Tous détail Stocks'!O214+'Tous détail Stocks'!W214+'Tous détail Stocks'!AD214+'Tous détail Stocks'!AK214+'Tous détail Stocks'!AR214</x:f>
        <x:v>987409589762.1538</x:v>
      </x:c>
      <x:c r="J74" s="9">
        <x:v>69</x:v>
      </x:c>
      <x:c r="K74" s="12">
        <x:v>48304</x:v>
      </x:c>
      <x:c r="L74" s="15" t="n">
        <x:f>'Tous détail Stocks'!F220+'Tous détail Stocks'!N220+'Tous détail Stocks'!V220+'Tous détail Stocks'!AC220+'Tous détail Stocks'!AJ220+'Tous détail Stocks'!AQ220</x:f>
        <x:v>178586403837.83408</x:v>
      </x:c>
      <x:c r="M74" s="15">
        <x:v>1686580438543.9844</x:v>
      </x:c>
      <x:c r="N74" s="27">
        <x:f t="shared" si="13"/>
        <x:v>1865166842381.8184</x:v>
      </x:c>
    </x:row>
    <x:row r="75">
      <x:c r="B75" s="9">
        <x:v>70</x:v>
      </x:c>
      <x:c r="C75" s="12">
        <x:f t="shared" si="14"/>
        <x:v>48152</x:v>
      </x:c>
      <x:c r="D75" s="15">
        <x:f t="shared" si="10"/>
        <x:v>1181986935772.2563</x:v>
      </x:c>
      <x:c r="E75" s="18">
        <x:f t="shared" si="11"/>
        <x:v>0.16227550385961279</x:v>
      </x:c>
      <x:c r="F75" s="18">
        <x:f t="shared" si="12"/>
        <x:v>0.83772449614038724</x:v>
      </x:c>
      <x:c r="G75" s="21" t="n">
        <x:f>'Tous détail Stocks'!F215+'Tous détail Stocks'!N215+'Tous détail Stocks'!V215+'Tous détail Stocks'!AC215+'Tous détail Stocks'!AJ215+'Tous détail Stocks'!AQ215</x:f>
        <x:v>191807525557.92267</x:v>
      </x:c>
      <x:c r="H75" s="24" t="n">
        <x:f>'Tous détail Stocks'!G215+'Tous détail Stocks'!O215+'Tous détail Stocks'!W215+'Tous détail Stocks'!AD215+'Tous détail Stocks'!AK215+'Tous détail Stocks'!AR215</x:f>
        <x:v>990179410214.3337</x:v>
      </x:c>
      <x:c r="J75" s="9">
        <x:v>70</x:v>
      </x:c>
      <x:c r="K75" s="12">
        <x:v>48334</x:v>
      </x:c>
      <x:c r="L75" s="15" t="n">
        <x:f>'Tous détail Stocks'!F221+'Tous détail Stocks'!N221+'Tous détail Stocks'!V221+'Tous détail Stocks'!AC221+'Tous détail Stocks'!AJ221+'Tous détail Stocks'!AQ221</x:f>
        <x:v>176061686336.3546</x:v>
      </x:c>
      <x:c r="M75" s="15">
        <x:v>1754801776614.7524</x:v>
      </x:c>
      <x:c r="N75" s="27">
        <x:f t="shared" si="13"/>
        <x:v>1930863462951.1069</x:v>
      </x:c>
    </x:row>
    <x:row r="76">
      <x:c r="B76" s="9">
        <x:v>71</x:v>
      </x:c>
      <x:c r="C76" s="12">
        <x:f t="shared" si="14"/>
        <x:v>48182</x:v>
      </x:c>
      <x:c r="D76" s="15">
        <x:f t="shared" si="10"/>
        <x:v>1181986935772.2563</x:v>
      </x:c>
      <x:c r="E76" s="18">
        <x:f t="shared" si="11"/>
        <x:v>0.15996859660269927</x:v>
      </x:c>
      <x:c r="F76" s="18">
        <x:f t="shared" si="12"/>
        <x:v>0.84003140339730076</x:v>
      </x:c>
      <x:c r="G76" s="21" t="n">
        <x:f>'Tous détail Stocks'!F216+'Tous détail Stocks'!N216+'Tous détail Stocks'!V216+'Tous détail Stocks'!AC216+'Tous détail Stocks'!AJ216+'Tous détail Stocks'!AQ216</x:f>
        <x:v>189080791318.21268</x:v>
      </x:c>
      <x:c r="H76" s="24" t="n">
        <x:f>'Tous détail Stocks'!G216+'Tous détail Stocks'!O216+'Tous détail Stocks'!W216+'Tous détail Stocks'!AD216+'Tous détail Stocks'!AK216+'Tous détail Stocks'!AR216</x:f>
        <x:v>992906144454.0437</x:v>
      </x:c>
      <x:c r="J76" s="9">
        <x:v>71</x:v>
      </x:c>
      <x:c r="K76" s="12">
        <x:v>48365</x:v>
      </x:c>
      <x:c r="L76" s="15" t="n">
        <x:f>'Tous détail Stocks'!F222+'Tous détail Stocks'!N222+'Tous détail Stocks'!V222+'Tous détail Stocks'!AC222+'Tous détail Stocks'!AJ222+'Tous détail Stocks'!AQ222</x:f>
        <x:v>173574932518.91052</x:v>
      </x:c>
      <x:c r="M76" s="15">
        <x:v>1710404009747.6992</x:v>
      </x:c>
      <x:c r="N76" s="27">
        <x:f t="shared" si="13"/>
        <x:v>1883978942266.6099</x:v>
      </x:c>
    </x:row>
    <x:row r="77">
      <x:c r="B77" s="9">
        <x:v>72</x:v>
      </x:c>
      <x:c r="C77" s="12">
        <x:f t="shared" si="14"/>
        <x:v>48213</x:v>
      </x:c>
      <x:c r="D77" s="15">
        <x:f t="shared" si="10"/>
        <x:v>1181986935772.2563</x:v>
      </x:c>
      <x:c r="E77" s="18">
        <x:f t="shared" si="11"/>
        <x:v>0.1576973425842913</x:v>
      </x:c>
      <x:c r="F77" s="18">
        <x:f t="shared" si="12"/>
        <x:v>0.84230265741570876</x:v>
      </x:c>
      <x:c r="G77" s="21" t="n">
        <x:f>'Tous détail Stocks'!F217+'Tous détail Stocks'!N217+'Tous détail Stocks'!V217+'Tous détail Stocks'!AC217+'Tous détail Stocks'!AJ217+'Tous détail Stocks'!AQ217</x:f>
        <x:v>186396198740.63422</x:v>
      </x:c>
      <x:c r="H77" s="24" t="n">
        <x:f>'Tous détail Stocks'!G217+'Tous détail Stocks'!O217+'Tous détail Stocks'!W217+'Tous détail Stocks'!AD217+'Tous détail Stocks'!AK217+'Tous détail Stocks'!AR217</x:f>
        <x:v>995590737031.6222</x:v>
      </x:c>
      <x:c r="J77" s="9">
        <x:v>72</x:v>
      </x:c>
      <x:c r="K77" s="12">
        <x:v>48395</x:v>
      </x:c>
      <x:c r="L77" s="15" t="n">
        <x:f>'Tous détail Stocks'!F223+'Tous détail Stocks'!N223+'Tous détail Stocks'!V223+'Tous détail Stocks'!AC223+'Tous détail Stocks'!AJ223+'Tous détail Stocks'!AQ223</x:f>
        <x:v>171125400169.7751</x:v>
      </x:c>
      <x:c r="M77" s="15">
        <x:v>2151540719143.1201</x:v>
      </x:c>
      <x:c r="N77" s="27">
        <x:f t="shared" si="13"/>
        <x:v>2322666119312.895</x:v>
      </x:c>
    </x:row>
    <x:row r="78">
      <x:c r="B78" s="9">
        <x:v>73</x:v>
      </x:c>
      <x:c r="C78" s="12">
        <x:f t="shared" si="14"/>
        <x:v>48244</x:v>
      </x:c>
      <x:c r="D78" s="15">
        <x:f t="shared" si="10"/>
        <x:v>1181986935772.2563</x:v>
      </x:c>
      <x:c r="E78" s="18">
        <x:f t="shared" si="11"/>
        <x:v>0.15546097616881641</x:v>
      </x:c>
      <x:c r="F78" s="18">
        <x:f t="shared" si="12"/>
        <x:v>0.84453902383118351</x:v>
      </x:c>
      <x:c r="G78" s="21" t="n">
        <x:f>'Tous détail Stocks'!F218+'Tous détail Stocks'!N218+'Tous détail Stocks'!V218+'Tous détail Stocks'!AC218+'Tous détail Stocks'!AJ218+'Tous détail Stocks'!AQ218</x:f>
        <x:v>183752842853.94308</x:v>
      </x:c>
      <x:c r="H78" s="24" t="n">
        <x:f>'Tous détail Stocks'!G218+'Tous détail Stocks'!O218+'Tous détail Stocks'!W218+'Tous détail Stocks'!AD218+'Tous détail Stocks'!AK218+'Tous détail Stocks'!AR218</x:f>
        <x:v>998234092918.3132</x:v>
      </x:c>
      <x:c r="J78" s="9">
        <x:v>73</x:v>
      </x:c>
      <x:c r="K78" s="12">
        <x:v>48426</x:v>
      </x:c>
      <x:c r="L78" s="15" t="n">
        <x:f>'Tous détail Stocks'!F224+'Tous détail Stocks'!N224+'Tous détail Stocks'!V224+'Tous détail Stocks'!AC224+'Tous détail Stocks'!AJ224+'Tous détail Stocks'!AQ224</x:f>
        <x:v>168712373757.0435</x:v>
      </x:c>
      <x:c r="M78" s="15">
        <x:v>1818333754017.5906</x:v>
      </x:c>
      <x:c r="N78" s="27">
        <x:f t="shared" si="13"/>
        <x:v>1987046127774.634</x:v>
      </x:c>
    </x:row>
    <x:row r="79">
      <x:c r="B79" s="9">
        <x:v>74</x:v>
      </x:c>
      <x:c r="C79" s="12">
        <x:f t="shared" si="14"/>
        <x:v>48273</x:v>
      </x:c>
      <x:c r="D79" s="15">
        <x:f t="shared" si="10"/>
        <x:v>1181986935772.2563</x:v>
      </x:c>
      <x:c r="E79" s="18">
        <x:f t="shared" si="11"/>
        <x:v>0.15325876301753807</x:v>
      </x:c>
      <x:c r="F79" s="18">
        <x:f t="shared" si="12"/>
        <x:v>0.84674123698246195</x:v>
      </x:c>
      <x:c r="G79" s="21" t="n">
        <x:f>'Tous détail Stocks'!F219+'Tous détail Stocks'!N219+'Tous détail Stocks'!V219+'Tous détail Stocks'!AC219+'Tous détail Stocks'!AJ219+'Tous détail Stocks'!AQ219</x:f>
        <x:v>181149855679.34622</x:v>
      </x:c>
      <x:c r="H79" s="24" t="n">
        <x:f>'Tous détail Stocks'!G219+'Tous détail Stocks'!O219+'Tous détail Stocks'!W219+'Tous détail Stocks'!AD219+'Tous détail Stocks'!AK219+'Tous détail Stocks'!AR219</x:f>
        <x:v>1000837080092.9102</x:v>
      </x:c>
      <x:c r="J79" s="9">
        <x:v>74</x:v>
      </x:c>
      <x:c r="K79" s="12">
        <x:v>48457</x:v>
      </x:c>
      <x:c r="L79" s="15" t="n">
        <x:f>'Tous détail Stocks'!F225+'Tous détail Stocks'!N225+'Tous détail Stocks'!V225+'Tous détail Stocks'!AC225+'Tous détail Stocks'!AJ225+'Tous détail Stocks'!AQ225</x:f>
        <x:v>166335162805.67166</x:v>
      </x:c>
      <x:c r="M79" s="15">
        <x:v>1583941811603.9019</x:v>
      </x:c>
      <x:c r="N79" s="27">
        <x:f t="shared" si="13"/>
        <x:v>1750276974409.5735</x:v>
      </x:c>
    </x:row>
    <x:row r="80">
      <x:c r="B80" s="9">
        <x:v>75</x:v>
      </x:c>
      <x:c r="C80" s="12">
        <x:f t="shared" si="14"/>
        <x:v>48304</x:v>
      </x:c>
      <x:c r="D80" s="15">
        <x:f t="shared" si="10"/>
        <x:v>1181986935772.2563</x:v>
      </x:c>
      <x:c r="E80" s="18">
        <x:f t="shared" si="11"/>
        <x:v>0.15108999806427967</x:v>
      </x:c>
      <x:c r="F80" s="18">
        <x:f t="shared" si="12"/>
        <x:v>0.8489100019357203</x:v>
      </x:c>
      <x:c r="G80" s="21" t="n">
        <x:f>'Tous détail Stocks'!F220+'Tous détail Stocks'!N220+'Tous détail Stocks'!V220+'Tous détail Stocks'!AC220+'Tous détail Stocks'!AJ220+'Tous détail Stocks'!AQ220</x:f>
        <x:v>178586403837.83408</x:v>
      </x:c>
      <x:c r="H80" s="24" t="n">
        <x:f>'Tous détail Stocks'!G220+'Tous détail Stocks'!O220+'Tous détail Stocks'!W220+'Tous détail Stocks'!AD220+'Tous détail Stocks'!AK220+'Tous détail Stocks'!AR220</x:f>
        <x:v>1003400531934.4222</x:v>
      </x:c>
      <x:c r="J80" s="9">
        <x:v>75</x:v>
      </x:c>
      <x:c r="K80" s="12">
        <x:v>48487</x:v>
      </x:c>
      <x:c r="L80" s="15" t="n">
        <x:f>'Tous détail Stocks'!F226+'Tous détail Stocks'!N226+'Tous détail Stocks'!V226+'Tous détail Stocks'!AC226+'Tous détail Stocks'!AJ226+'Tous détail Stocks'!AQ226</x:f>
        <x:v>163993100390.01437</x:v>
      </x:c>
      <x:c r="M80" s="15">
        <x:v>1830055579959.5457</x:v>
      </x:c>
      <x:c r="N80" s="27">
        <x:f t="shared" si="13"/>
        <x:v>1994048680349.5601</x:v>
      </x:c>
    </x:row>
    <x:row r="81">
      <x:c r="B81" s="9">
        <x:v>76</x:v>
      </x:c>
      <x:c r="C81" s="12">
        <x:f t="shared" si="14"/>
        <x:v>48334</x:v>
      </x:c>
      <x:c r="D81" s="15">
        <x:f t="shared" si="10"/>
        <x:v>1181986935772.2563</x:v>
      </x:c>
      <x:c r="E81" s="18">
        <x:f t="shared" si="11"/>
        <x:v>0.14895400364245476</x:v>
      </x:c>
      <x:c r="F81" s="18">
        <x:f t="shared" si="12"/>
        <x:v>0.8510459963575453</x:v>
      </x:c>
      <x:c r="G81" s="21" t="n">
        <x:f>'Tous détail Stocks'!F221+'Tous détail Stocks'!N221+'Tous détail Stocks'!V221+'Tous détail Stocks'!AC221+'Tous détail Stocks'!AJ221+'Tous détail Stocks'!AQ221</x:f>
        <x:v>176061686336.3546</x:v>
      </x:c>
      <x:c r="H81" s="24" t="n">
        <x:f>'Tous détail Stocks'!G221+'Tous détail Stocks'!O221+'Tous détail Stocks'!W221+'Tous détail Stocks'!AD221+'Tous détail Stocks'!AK221+'Tous détail Stocks'!AR221</x:f>
        <x:v>1005925249435.9019</x:v>
      </x:c>
      <x:c r="J81" s="9">
        <x:v>76</x:v>
      </x:c>
      <x:c r="K81" s="12">
        <x:v>48518</x:v>
      </x:c>
      <x:c r="L81" s="15" t="n">
        <x:f>'Tous détail Stocks'!F227+'Tous détail Stocks'!N227+'Tous détail Stocks'!V227+'Tous détail Stocks'!AC227+'Tous détail Stocks'!AJ227+'Tous détail Stocks'!AQ227</x:f>
        <x:v>161685541736.6632</x:v>
      </x:c>
      <x:c r="M81" s="15">
        <x:v>1710747990639.199</x:v>
      </x:c>
      <x:c r="N81" s="27">
        <x:f t="shared" si="13"/>
        <x:v>1872433532375.8623</x:v>
      </x:c>
    </x:row>
    <x:row r="82">
      <x:c r="B82" s="9">
        <x:v>77</x:v>
      </x:c>
      <x:c r="C82" s="12">
        <x:f t="shared" si="14"/>
        <x:v>48365</x:v>
      </x:c>
      <x:c r="D82" s="15">
        <x:f t="shared" si="10"/>
        <x:v>1181986935772.2563</x:v>
      </x:c>
      <x:c r="E82" s="18">
        <x:f t="shared" si="11"/>
        <x:v>0.14685012775162745</x:v>
      </x:c>
      <x:c r="F82" s="18">
        <x:f t="shared" si="12"/>
        <x:v>0.85314987224837258</x:v>
      </x:c>
      <x:c r="G82" s="21" t="n">
        <x:f>'Tous détail Stocks'!F222+'Tous détail Stocks'!N222+'Tous détail Stocks'!V222+'Tous détail Stocks'!AC222+'Tous détail Stocks'!AJ222+'Tous détail Stocks'!AQ222</x:f>
        <x:v>173574932518.91052</x:v>
      </x:c>
      <x:c r="H82" s="24" t="n">
        <x:f>'Tous détail Stocks'!G222+'Tous détail Stocks'!O222+'Tous détail Stocks'!W222+'Tous détail Stocks'!AD222+'Tous détail Stocks'!AK222+'Tous détail Stocks'!AR222</x:f>
        <x:v>1008412003253.3458</x:v>
      </x:c>
      <x:c r="J82" s="9">
        <x:v>77</x:v>
      </x:c>
      <x:c r="K82" s="12">
        <x:v>48548</x:v>
      </x:c>
      <x:c r="L82" s="15" t="n">
        <x:f>'Tous détail Stocks'!F228+'Tous détail Stocks'!N228+'Tous détail Stocks'!V228+'Tous détail Stocks'!AC228+'Tous détail Stocks'!AJ228+'Tous détail Stocks'!AQ228</x:f>
        <x:v>159411862929.108</x:v>
      </x:c>
      <x:c r="M82" s="15">
        <x:v>1743675578325.1804</x:v>
      </x:c>
      <x:c r="N82" s="27">
        <x:f t="shared" si="13"/>
        <x:v>1903087441254.2883</x:v>
      </x:c>
    </x:row>
    <x:row r="83">
      <x:c r="B83" s="9">
        <x:v>78</x:v>
      </x:c>
      <x:c r="C83" s="12">
        <x:f t="shared" si="14"/>
        <x:v>48395</x:v>
      </x:c>
      <x:c r="D83" s="15">
        <x:f t="shared" si="10"/>
        <x:v>1181986935772.2566</x:v>
      </x:c>
      <x:c r="E83" s="18">
        <x:f t="shared" si="11"/>
        <x:v>0.14477774245277045</x:v>
      </x:c>
      <x:c r="F83" s="18">
        <x:f t="shared" si="12"/>
        <x:v>0.85522225754722947</x:v>
      </x:c>
      <x:c r="G83" s="21" t="n">
        <x:f>'Tous détail Stocks'!F223+'Tous détail Stocks'!N223+'Tous détail Stocks'!V223+'Tous détail Stocks'!AC223+'Tous détail Stocks'!AJ223+'Tous détail Stocks'!AQ223</x:f>
        <x:v>171125400169.7751</x:v>
      </x:c>
      <x:c r="H83" s="24" t="n">
        <x:f>'Tous détail Stocks'!G223+'Tous détail Stocks'!O223+'Tous détail Stocks'!W223+'Tous détail Stocks'!AD223+'Tous détail Stocks'!AK223+'Tous détail Stocks'!AR223</x:f>
        <x:v>1010861535602.4814</x:v>
      </x:c>
      <x:c r="J83" s="9">
        <x:v>78</x:v>
      </x:c>
      <x:c r="K83" s="12">
        <x:v>48579</x:v>
      </x:c>
      <x:c r="L83" s="15" t="n">
        <x:f>'Tous détail Stocks'!F229+'Tous détail Stocks'!N229+'Tous détail Stocks'!V229+'Tous détail Stocks'!AC229+'Tous détail Stocks'!AJ229+'Tous détail Stocks'!AQ229</x:f>
        <x:v>157171459706.41257</x:v>
      </x:c>
      <x:c r="M83" s="15">
        <x:v>1764497406163.1064</x:v>
      </x:c>
      <x:c r="N83" s="27">
        <x:f t="shared" si="13"/>
        <x:v>1921668865869.519</x:v>
      </x:c>
    </x:row>
    <x:row r="84">
      <x:c r="B84" s="9">
        <x:v>79</x:v>
      </x:c>
      <x:c r="C84" s="12">
        <x:f t="shared" si="14"/>
        <x:v>48426</x:v>
      </x:c>
      <x:c r="D84" s="15">
        <x:f t="shared" si="10"/>
        <x:v>1181986935772.2563</x:v>
      </x:c>
      <x:c r="E84" s="18">
        <x:f t="shared" si="11"/>
        <x:v>0.14273624238225147</x:v>
      </x:c>
      <x:c r="F84" s="18">
        <x:f t="shared" si="12"/>
        <x:v>0.85726375761774853</x:v>
      </x:c>
      <x:c r="G84" s="21" t="n">
        <x:f>'Tous détail Stocks'!F224+'Tous détail Stocks'!N224+'Tous détail Stocks'!V224+'Tous détail Stocks'!AC224+'Tous détail Stocks'!AJ224+'Tous détail Stocks'!AQ224</x:f>
        <x:v>168712373757.0435</x:v>
      </x:c>
      <x:c r="H84" s="24" t="n">
        <x:f>'Tous détail Stocks'!G224+'Tous détail Stocks'!O224+'Tous détail Stocks'!W224+'Tous détail Stocks'!AD224+'Tous détail Stocks'!AK224+'Tous détail Stocks'!AR224</x:f>
        <x:v>1013274562015.2129</x:v>
      </x:c>
      <x:c r="J84" s="9">
        <x:v>79</x:v>
      </x:c>
      <x:c r="K84" s="12">
        <x:v>48610</x:v>
      </x:c>
      <x:c r="L84" s="15" t="n">
        <x:f>'Tous détail Stocks'!F230+'Tous détail Stocks'!N230+'Tous détail Stocks'!V230+'Tous détail Stocks'!AC230+'Tous détail Stocks'!AJ230+'Tous détail Stocks'!AQ230</x:f>
        <x:v>154963746348.70618</x:v>
      </x:c>
      <x:c r="M84" s="15">
        <x:v>1782340632317.9382</x:v>
      </x:c>
      <x:c r="N84" s="27">
        <x:f t="shared" si="13"/>
        <x:v>1937304378666.6445</x:v>
      </x:c>
    </x:row>
    <x:row r="85">
      <x:c r="B85" s="9">
        <x:v>80</x:v>
      </x:c>
      <x:c r="C85" s="12">
        <x:f t="shared" si="14"/>
        <x:v>48457</x:v>
      </x:c>
      <x:c r="D85" s="15">
        <x:f t="shared" si="10"/>
        <x:v>1181986935772.2563</x:v>
      </x:c>
      <x:c r="E85" s="18">
        <x:f t="shared" si="11"/>
        <x:v>0.14072504337537017</x:v>
      </x:c>
      <x:c r="F85" s="18">
        <x:f t="shared" si="12"/>
        <x:v>0.85927495662462983</x:v>
      </x:c>
      <x:c r="G85" s="21" t="n">
        <x:f>'Tous détail Stocks'!F225+'Tous détail Stocks'!N225+'Tous détail Stocks'!V225+'Tous détail Stocks'!AC225+'Tous détail Stocks'!AJ225+'Tous détail Stocks'!AQ225</x:f>
        <x:v>166335162805.67166</x:v>
      </x:c>
      <x:c r="H85" s="24" t="n">
        <x:f>'Tous détail Stocks'!G225+'Tous détail Stocks'!O225+'Tous détail Stocks'!W225+'Tous détail Stocks'!AD225+'Tous détail Stocks'!AK225+'Tous détail Stocks'!AR225</x:f>
        <x:v>1015651772966.5847</x:v>
      </x:c>
      <x:c r="J85" s="9">
        <x:v>80</x:v>
      </x:c>
      <x:c r="K85" s="12">
        <x:v>48638</x:v>
      </x:c>
      <x:c r="L85" s="15" t="n">
        <x:f>'Tous détail Stocks'!F231+'Tous détail Stocks'!N231+'Tous détail Stocks'!V231+'Tous détail Stocks'!AC231+'Tous détail Stocks'!AJ231+'Tous détail Stocks'!AQ231</x:f>
        <x:v>152788154642.85556</x:v>
      </x:c>
      <x:c r="M85" s="15">
        <x:v>1757040194559.2471</x:v>
      </x:c>
      <x:c r="N85" s="27">
        <x:f t="shared" si="13"/>
        <x:v>1909828349202.1025</x:v>
      </x:c>
    </x:row>
    <x:row r="86">
      <x:c r="B86" s="9">
        <x:v>81</x:v>
      </x:c>
      <x:c r="C86" s="12">
        <x:f t="shared" si="14"/>
        <x:v>48487</x:v>
      </x:c>
      <x:c r="D86" s="15">
        <x:f t="shared" si="10"/>
        <x:v>1181986935772.2563</x:v>
      </x:c>
      <x:c r="E86" s="18">
        <x:f t="shared" si="11"/>
        <x:v>0.13874358119099578</x:v>
      </x:c>
      <x:c r="F86" s="18">
        <x:f t="shared" si="12"/>
        <x:v>0.86125641880900428</x:v>
      </x:c>
      <x:c r="G86" s="21" t="n">
        <x:f>'Tous détail Stocks'!F226+'Tous détail Stocks'!N226+'Tous détail Stocks'!V226+'Tous détail Stocks'!AC226+'Tous détail Stocks'!AJ226+'Tous détail Stocks'!AQ226</x:f>
        <x:v>163993100390.01437</x:v>
      </x:c>
      <x:c r="H86" s="24" t="n">
        <x:f>'Tous détail Stocks'!G226+'Tous détail Stocks'!O226+'Tous détail Stocks'!W226+'Tous détail Stocks'!AD226+'Tous détail Stocks'!AK226+'Tous détail Stocks'!AR226</x:f>
        <x:v>1017993835382.2421</x:v>
      </x:c>
      <x:c r="J86" s="9">
        <x:v>81</x:v>
      </x:c>
      <x:c r="K86" s="12">
        <x:v>48669</x:v>
      </x:c>
      <x:c r="L86" s="15" t="n">
        <x:f>'Tous détail Stocks'!F232+'Tous détail Stocks'!N232+'Tous détail Stocks'!V232+'Tous détail Stocks'!AC232+'Tous détail Stocks'!AJ232+'Tous détail Stocks'!AQ232</x:f>
        <x:v>150644132922.1995</x:v>
      </x:c>
      <x:c r="M86" s="15">
        <x:v>1718636855651.1982</x:v>
      </x:c>
      <x:c r="N86" s="27">
        <x:f t="shared" si="13"/>
        <x:v>1869280988573.3977</x:v>
      </x:c>
    </x:row>
    <x:row r="87">
      <x:c r="B87" s="9">
        <x:v>82</x:v>
      </x:c>
      <x:c r="C87" s="12">
        <x:f t="shared" si="14"/>
        <x:v>48518</x:v>
      </x:c>
      <x:c r="D87" s="15">
        <x:f t="shared" si="10"/>
        <x:v>1181986935772.2563</x:v>
      </x:c>
      <x:c r="E87" s="18">
        <x:f t="shared" si="11"/>
        <x:v>0.13679131032952174</x:v>
      </x:c>
      <x:c r="F87" s="18">
        <x:f t="shared" si="12"/>
        <x:v>0.86320868967047826</x:v>
      </x:c>
      <x:c r="G87" s="21" t="n">
        <x:f>'Tous détail Stocks'!F227+'Tous détail Stocks'!N227+'Tous détail Stocks'!V227+'Tous détail Stocks'!AC227+'Tous détail Stocks'!AJ227+'Tous détail Stocks'!AQ227</x:f>
        <x:v>161685541736.6632</x:v>
      </x:c>
      <x:c r="H87" s="24" t="n">
        <x:f>'Tous détail Stocks'!G227+'Tous détail Stocks'!O227+'Tous détail Stocks'!W227+'Tous détail Stocks'!AD227+'Tous détail Stocks'!AK227+'Tous détail Stocks'!AR227</x:f>
        <x:v>1020301394035.5931</x:v>
      </x:c>
      <x:c r="J87" s="9">
        <x:v>82</x:v>
      </x:c>
      <x:c r="K87" s="12">
        <x:v>48699</x:v>
      </x:c>
      <x:c r="L87" s="15" t="n">
        <x:f>'Tous détail Stocks'!F233+'Tous détail Stocks'!N233+'Tous détail Stocks'!V233+'Tous détail Stocks'!AC233+'Tous détail Stocks'!AJ233+'Tous détail Stocks'!AQ233</x:f>
        <x:v>148531145174.70474</x:v>
      </x:c>
      <x:c r="M87" s="15">
        <x:v>1788833884409.446</x:v>
      </x:c>
      <x:c r="N87" s="27">
        <x:f t="shared" si="13"/>
        <x:v>1937365029584.1509</x:v>
      </x:c>
    </x:row>
    <x:row r="88">
      <x:c r="B88" s="9">
        <x:v>83</x:v>
      </x:c>
      <x:c r="C88" s="12">
        <x:f t="shared" si="14"/>
        <x:v>48548</x:v>
      </x:c>
      <x:c r="D88" s="15">
        <x:f t="shared" si="10"/>
        <x:v>1181986935772.2563</x:v>
      </x:c>
      <x:c r="E88" s="18">
        <x:f t="shared" si="11"/>
        <x:v>0.13486770293696654</x:v>
      </x:c>
      <x:c r="F88" s="18">
        <x:f t="shared" si="12"/>
        <x:v>0.86513229706303352</x:v>
      </x:c>
      <x:c r="G88" s="21" t="n">
        <x:f>'Tous détail Stocks'!F228+'Tous détail Stocks'!N228+'Tous détail Stocks'!V228+'Tous détail Stocks'!AC228+'Tous détail Stocks'!AJ228+'Tous détail Stocks'!AQ228</x:f>
        <x:v>159411862929.108</x:v>
      </x:c>
      <x:c r="H88" s="24" t="n">
        <x:f>'Tous détail Stocks'!G228+'Tous détail Stocks'!O228+'Tous détail Stocks'!W228+'Tous détail Stocks'!AD228+'Tous détail Stocks'!AK228+'Tous détail Stocks'!AR228</x:f>
        <x:v>1022575072843.1484</x:v>
      </x:c>
      <x:c r="J88" s="9">
        <x:v>83</x:v>
      </x:c>
      <x:c r="K88" s="12" t="n">
        <x:f>EOMONTH(K87,1)</x:f>
        <x:v>48730</x:v>
      </x:c>
      <x:c r="L88" s="15" t="n">
        <x:f>'Tous détail Stocks'!F234+'Tous détail Stocks'!N234+'Tous détail Stocks'!V234+'Tous détail Stocks'!AC234+'Tous détail Stocks'!AJ234+'Tous détail Stocks'!AQ234</x:f>
        <x:v>146448670214.33987</x:v>
      </x:c>
      <x:c r="M88" s="15">
        <x:v>1744857828642.0417</x:v>
      </x:c>
      <x:c r="N88" s="27">
        <x:f t="shared" si="13"/>
        <x:v>1891306498856.3816</x:v>
      </x:c>
    </x:row>
    <x:row r="89">
      <x:c r="B89" s="9">
        <x:v>84</x:v>
      </x:c>
      <x:c r="C89" s="12">
        <x:f t="shared" si="14"/>
        <x:v>48579</x:v>
      </x:c>
      <x:c r="D89" s="15">
        <x:f t="shared" si="10"/>
        <x:v>1181986935772.2563</x:v>
      </x:c>
      <x:c r="E89" s="18">
        <x:f t="shared" si="11"/>
        <x:v>0.13297224778861358</x:v>
      </x:c>
      <x:c r="F89" s="18">
        <x:f t="shared" si="12"/>
        <x:v>0.86702775221138639</x:v>
      </x:c>
      <x:c r="G89" s="21" t="n">
        <x:f>'Tous détail Stocks'!F229+'Tous détail Stocks'!N229+'Tous détail Stocks'!V229+'Tous détail Stocks'!AC229+'Tous détail Stocks'!AJ229+'Tous détail Stocks'!AQ229</x:f>
        <x:v>157171459706.41257</x:v>
      </x:c>
      <x:c r="H89" s="24" t="n">
        <x:f>'Tous détail Stocks'!G229+'Tous détail Stocks'!O229+'Tous détail Stocks'!W229+'Tous détail Stocks'!AD229+'Tous détail Stocks'!AK229+'Tous détail Stocks'!AR229</x:f>
        <x:v>1024815476065.8438</x:v>
      </x:c>
      <x:c r="J89" s="9">
        <x:v>84</x:v>
      </x:c>
      <x:c r="K89" s="12">
        <x:v>48760</x:v>
      </x:c>
      <x:c r="L89" s="15" t="n">
        <x:f>'Tous détail Stocks'!F235+'Tous détail Stocks'!N235+'Tous détail Stocks'!V235+'Tous détail Stocks'!AC235+'Tous détail Stocks'!AJ235+'Tous détail Stocks'!AQ235</x:f>
        <x:v>144396200910.86823</x:v>
      </x:c>
      <x:c r="M89" s="15">
        <x:v>2189671930635.0203</x:v>
      </x:c>
      <x:c r="N89" s="27">
        <x:f t="shared" si="13"/>
        <x:v>2334068131545.8887</x:v>
      </x:c>
    </x:row>
    <x:row r="90">
      <x:c r="B90" s="9">
        <x:v>85</x:v>
      </x:c>
      <x:c r="C90" s="12">
        <x:f t="shared" si="14"/>
        <x:v>48610</x:v>
      </x:c>
      <x:c r="D90" s="15">
        <x:f t="shared" si="10"/>
        <x:v>1181986935772.2563</x:v>
      </x:c>
      <x:c r="E90" s="18">
        <x:f t="shared" si="11"/>
        <x:v>0.13110444934610038</x:v>
      </x:c>
      <x:c r="F90" s="18">
        <x:f t="shared" si="12"/>
        <x:v>0.86889555065389956</x:v>
      </x:c>
      <x:c r="G90" s="21" t="n">
        <x:f>'Tous détail Stocks'!F230+'Tous détail Stocks'!N230+'Tous détail Stocks'!V230+'Tous détail Stocks'!AC230+'Tous détail Stocks'!AJ230+'Tous détail Stocks'!AQ230</x:f>
        <x:v>154963746348.70618</x:v>
      </x:c>
      <x:c r="H90" s="24" t="n">
        <x:f>'Tous détail Stocks'!G230+'Tous détail Stocks'!O230+'Tous détail Stocks'!W230+'Tous détail Stocks'!AD230+'Tous détail Stocks'!AK230+'Tous détail Stocks'!AR230</x:f>
        <x:v>1027023189423.55</x:v>
      </x:c>
      <x:c r="J90" s="9">
        <x:v>85</x:v>
      </x:c>
      <x:c r="K90" s="12">
        <x:v>48791</x:v>
      </x:c>
      <x:c r="L90" s="15" t="n">
        <x:f>'Tous détail Stocks'!F236+'Tous détail Stocks'!N236+'Tous détail Stocks'!V236+'Tous détail Stocks'!AC236+'Tous détail Stocks'!AJ236+'Tous détail Stocks'!AQ236</x:f>
        <x:v>142373243473.63202</x:v>
      </x:c>
      <x:c r="M90" s="15">
        <x:v>1853476310930.4141</x:v>
      </x:c>
      <x:c r="N90" s="27">
        <x:f t="shared" si="13"/>
        <x:v>1995849554404.0461</x:v>
      </x:c>
    </x:row>
    <x:row r="91">
      <x:c r="B91" s="9">
        <x:v>86</x:v>
      </x:c>
      <x:c r="C91" s="12">
        <x:f t="shared" si="14"/>
        <x:v>48638</x:v>
      </x:c>
      <x:c r="D91" s="15">
        <x:f t="shared" si="10"/>
        <x:v>1181986935772.2563</x:v>
      </x:c>
      <x:c r="E91" s="18">
        <x:f t="shared" si="11"/>
        <x:v>0.12926382688234261</x:v>
      </x:c>
      <x:c r="F91" s="18">
        <x:f t="shared" si="12"/>
        <x:v>0.8707361731176575</x:v>
      </x:c>
      <x:c r="G91" s="21" t="n">
        <x:f>'Tous détail Stocks'!F231+'Tous détail Stocks'!N231+'Tous détail Stocks'!V231+'Tous détail Stocks'!AC231+'Tous détail Stocks'!AJ231+'Tous détail Stocks'!AQ231</x:f>
        <x:v>152788154642.85556</x:v>
      </x:c>
      <x:c r="H91" s="24" t="n">
        <x:f>'Tous détail Stocks'!G231+'Tous détail Stocks'!O231+'Tous détail Stocks'!W231+'Tous détail Stocks'!AD231+'Tous détail Stocks'!AK231+'Tous détail Stocks'!AR231</x:f>
        <x:v>1029198781129.4009</x:v>
      </x:c>
      <x:c r="J91" s="9">
        <x:v>86</x:v>
      </x:c>
      <x:c r="K91" s="12">
        <x:v>48822</x:v>
      </x:c>
      <x:c r="L91" s="15" t="n">
        <x:f>'Tous détail Stocks'!F237+'Tous détail Stocks'!N237+'Tous détail Stocks'!V237+'Tous détail Stocks'!AC237+'Tous détail Stocks'!AJ237+'Tous détail Stocks'!AQ237</x:f>
        <x:v>140379316785.24265</x:v>
      </x:c>
      <x:c r="M91" s="15">
        <x:v>1618517864132.6526</x:v>
      </x:c>
      <x:c r="N91" s="27">
        <x:f t="shared" si="13"/>
        <x:v>1758897180917.8953</x:v>
      </x:c>
    </x:row>
    <x:row r="92">
      <x:c r="B92" s="9">
        <x:v>87</x:v>
      </x:c>
      <x:c r="C92" s="12">
        <x:f t="shared" si="14"/>
        <x:v>48669</x:v>
      </x:c>
      <x:c r="D92" s="15">
        <x:f t="shared" si="10"/>
        <x:v>1181986935772.2563</x:v>
      </x:c>
      <x:c r="E92" s="18">
        <x:f t="shared" si="11"/>
        <x:v>0.12744991366911809</x:v>
      </x:c>
      <x:c r="F92" s="18">
        <x:f t="shared" si="12"/>
        <x:v>0.87255008633088194</x:v>
      </x:c>
      <x:c r="G92" s="21" t="n">
        <x:f>'Tous détail Stocks'!F232+'Tous détail Stocks'!N232+'Tous détail Stocks'!V232+'Tous détail Stocks'!AC232+'Tous détail Stocks'!AJ232+'Tous détail Stocks'!AQ232</x:f>
        <x:v>150644132922.1995</x:v>
      </x:c>
      <x:c r="H92" s="24" t="n">
        <x:f>'Tous détail Stocks'!G232+'Tous détail Stocks'!O232+'Tous détail Stocks'!W232+'Tous détail Stocks'!AD232+'Tous détail Stocks'!AK232+'Tous détail Stocks'!AR232</x:f>
        <x:v>1031342802850.0569</x:v>
      </x:c>
      <x:c r="J92" s="9">
        <x:v>87</x:v>
      </x:c>
      <x:c r="K92" s="12">
        <x:v>48852</x:v>
      </x:c>
      <x:c r="L92" s="15" t="n">
        <x:f>'Tous détail Stocks'!F238+'Tous détail Stocks'!N238+'Tous détail Stocks'!V238+'Tous détail Stocks'!AC238+'Tous détail Stocks'!AJ238+'Tous détail Stocks'!AQ238</x:f>
        <x:v>138413951781.40802</x:v>
      </x:c>
      <x:c r="M92" s="15">
        <x:v>1867002893017.8926</x:v>
      </x:c>
      <x:c r="N92" s="27">
        <x:f t="shared" si="13"/>
        <x:v>2005416844799.3005</x:v>
      </x:c>
    </x:row>
    <x:row r="93">
      <x:c r="B93" s="9">
        <x:v>88</x:v>
      </x:c>
      <x:c r="C93" s="12">
        <x:f t="shared" si="14"/>
        <x:v>48699</x:v>
      </x:c>
      <x:c r="D93" s="15">
        <x:f t="shared" si="10"/>
        <x:v>1181986935772.2563</x:v>
      </x:c>
      <x:c r="E93" s="18">
        <x:f t="shared" si="11"/>
        <x:v>0.12566225622253707</x:v>
      </x:c>
      <x:c r="F93" s="18">
        <x:f t="shared" si="12"/>
        <x:v>0.87433774377746298</x:v>
      </x:c>
      <x:c r="G93" s="21" t="n">
        <x:f>'Tous détail Stocks'!F233+'Tous détail Stocks'!N233+'Tous détail Stocks'!V233+'Tous détail Stocks'!AC233+'Tous détail Stocks'!AJ233+'Tous détail Stocks'!AQ233</x:f>
        <x:v>148531145174.70474</x:v>
      </x:c>
      <x:c r="H93" s="24" t="n">
        <x:f>'Tous détail Stocks'!G233+'Tous détail Stocks'!O233+'Tous détail Stocks'!W233+'Tous détail Stocks'!AD233+'Tous détail Stocks'!AK233+'Tous détail Stocks'!AR233</x:f>
        <x:v>1033455790597.5516</x:v>
      </x:c>
      <x:c r="J93" s="9">
        <x:v>88</x:v>
      </x:c>
      <x:c r="K93" s="12">
        <x:v>48883</x:v>
      </x:c>
      <x:c r="L93" s="15" t="n">
        <x:f>'Tous détail Stocks'!F239+'Tous détail Stocks'!N239+'Tous détail Stocks'!V239+'Tous détail Stocks'!AC239+'Tous détail Stocks'!AJ239+'Tous détail Stocks'!AQ239</x:f>
        <x:v>136476690873.41805</x:v>
      </x:c>
      <x:c r="M93" s="15">
        <x:v>1746615656732.7</x:v>
      </x:c>
      <x:c r="N93" s="27">
        <x:f t="shared" si="13"/>
        <x:v>1883092347606.1179</x:v>
      </x:c>
    </x:row>
    <x:row r="94">
      <x:c r="B94" s="9">
        <x:v>89</x:v>
      </x:c>
      <x:c r="C94" s="12">
        <x:f t="shared" si="14"/>
        <x:v>48730</x:v>
      </x:c>
      <x:c r="D94" s="15">
        <x:f t="shared" si="10"/>
        <x:v>1181986935772.2563</x:v>
      </x:c>
      <x:c r="E94" s="18">
        <x:f t="shared" si="11"/>
        <x:v>0.12390041360199722</x:v>
      </x:c>
      <x:c r="F94" s="18">
        <x:f t="shared" si="12"/>
        <x:v>0.87609958639800278</x:v>
      </x:c>
      <x:c r="G94" s="21" t="n">
        <x:f>'Tous détail Stocks'!F234+'Tous détail Stocks'!N234+'Tous détail Stocks'!V234+'Tous détail Stocks'!AC234+'Tous détail Stocks'!AJ234+'Tous détail Stocks'!AQ234</x:f>
        <x:v>146448670214.33987</x:v>
      </x:c>
      <x:c r="H94" s="24" t="n">
        <x:f>'Tous détail Stocks'!G234+'Tous détail Stocks'!O234+'Tous détail Stocks'!W234+'Tous détail Stocks'!AD234+'Tous détail Stocks'!AK234+'Tous détail Stocks'!AR234</x:f>
        <x:v>1035538265557.9165</x:v>
      </x:c>
      <x:c r="J94" s="9">
        <x:v>89</x:v>
      </x:c>
      <x:c r="K94" s="12">
        <x:v>48913</x:v>
      </x:c>
      <x:c r="L94" s="15" t="n">
        <x:f>'Tous détail Stocks'!F240+'Tous détail Stocks'!N240+'Tous détail Stocks'!V240+'Tous détail Stocks'!AC240+'Tous détail Stocks'!AJ240+'Tous détail Stocks'!AQ240</x:f>
        <x:v>134567087410.07726</x:v>
      </x:c>
      <x:c r="M94" s="15">
        <x:v>1779438171958.8491</x:v>
      </x:c>
      <x:c r="N94" s="27">
        <x:f t="shared" si="13"/>
        <x:v>1914005259368.9263</x:v>
      </x:c>
    </x:row>
    <x:row r="95">
      <x:c r="B95" s="9">
        <x:v>90</x:v>
      </x:c>
      <x:c r="C95" s="12">
        <x:f t="shared" si="14"/>
        <x:v>48760</x:v>
      </x:c>
      <x:c r="D95" s="15">
        <x:f t="shared" si="10"/>
        <x:v>1181986935772.2563</x:v>
      </x:c>
      <x:c r="E95" s="18">
        <x:f t="shared" si="11"/>
        <x:v>0.12216395675856292</x:v>
      </x:c>
      <x:c r="F95" s="18">
        <x:f t="shared" si="12"/>
        <x:v>0.87783604324143705</x:v>
      </x:c>
      <x:c r="G95" s="21" t="n">
        <x:f>'Tous détail Stocks'!F235+'Tous détail Stocks'!N235+'Tous détail Stocks'!V235+'Tous détail Stocks'!AC235+'Tous détail Stocks'!AJ235+'Tous détail Stocks'!AQ235</x:f>
        <x:v>144396200910.86823</x:v>
      </x:c>
      <x:c r="H95" s="24" t="n">
        <x:f>'Tous détail Stocks'!G235+'Tous détail Stocks'!O235+'Tous détail Stocks'!W235+'Tous détail Stocks'!AD235+'Tous détail Stocks'!AK235+'Tous détail Stocks'!AR235</x:f>
        <x:v>1037590734861.3881</x:v>
      </x:c>
      <x:c r="J95" s="9">
        <x:v>90</x:v>
      </x:c>
      <x:c r="K95" s="12">
        <x:v>48944</x:v>
      </x:c>
      <x:c r="L95" s="15" t="n">
        <x:f>'Tous détail Stocks'!F241+'Tous détail Stocks'!N241+'Tous détail Stocks'!V241+'Tous détail Stocks'!AC241+'Tous détail Stocks'!AJ241+'Tous détail Stocks'!AQ241</x:f>
        <x:v>132684705176.12213</x:v>
      </x:c>
      <x:c r="M95" s="15">
        <x:v>1800614842646.7222</x:v>
      </x:c>
      <x:c r="N95" s="27">
        <x:f t="shared" si="13"/>
        <x:v>1933299547822.8442</x:v>
      </x:c>
    </x:row>
    <x:row r="96">
      <x:c r="B96" s="10">
        <x:v>91</x:v>
      </x:c>
      <x:c r="C96" s="13">
        <x:f t="shared" si="14"/>
        <x:v>48791</x:v>
      </x:c>
      <x:c r="D96" s="16">
        <x:f t="shared" si="10"/>
        <x:v>1181986935772.2563</x:v>
      </x:c>
      <x:c r="E96" s="19">
        <x:f t="shared" si="11"/>
        <x:v>0.12045246792902312</x:v>
      </x:c>
      <x:c r="F96" s="19">
        <x:f t="shared" si="12"/>
        <x:v>0.8795475320709768</x:v>
      </x:c>
      <x:c r="G96" s="22" t="n">
        <x:f>'Tous détail Stocks'!F236+'Tous détail Stocks'!N236+'Tous détail Stocks'!V236+'Tous détail Stocks'!AC236+'Tous détail Stocks'!AJ236+'Tous détail Stocks'!AQ236</x:f>
        <x:v>142373243473.63202</x:v>
      </x:c>
      <x:c r="H96" s="25" t="n">
        <x:f>'Tous détail Stocks'!G236+'Tous détail Stocks'!O236+'Tous détail Stocks'!W236+'Tous détail Stocks'!AD236+'Tous détail Stocks'!AK236+'Tous détail Stocks'!AR236</x:f>
        <x:v>1039613692298.6243</x:v>
      </x:c>
      <x:c r="J96" s="10">
        <x:v>91</x:v>
      </x:c>
      <x:c r="K96" s="13">
        <x:v>48975</x:v>
      </x:c>
      <x:c r="L96" s="16" t="n">
        <x:f>'Tous détail Stocks'!F242+'Tous détail Stocks'!N242+'Tous détail Stocks'!V242+'Tous détail Stocks'!AC242+'Tous détail Stocks'!AJ242+'Tous détail Stocks'!AQ242</x:f>
        <x:v>130829117924.38618</x:v>
      </x:c>
      <x:c r="M96" s="16">
        <x:v>1819477875330.5964</x:v>
      </x:c>
      <x:c r="N96" s="28">
        <x:f t="shared" si="13"/>
        <x:v>1950306993254.9827</x:v>
      </x:c>
    </x:row>
    <x:row r="127" ht="22" customHeight="1">
      <x:c r="B127" s="181" t="str">
        <x:v>H1 : 371E = 72,10 % | 371P = 44,00 % | 372E = 54,89 % | 372P = 92,35 % | 373E = 84,83 % | 373P = 98,61 %</x:v>
      </x:c>
      <x:c r="C127" s="181"/>
      <x:c r="D127" s="181"/>
      <x:c r="E127" s="181"/>
      <x:c r="F127" s="181"/>
      <x:c r="G127" s="181"/>
      <x:c r="H127" s="181"/>
      <x:c r="I127" s="181"/>
      <x:c r="J127" s="181"/>
      <x:c r="K127" s="181"/>
      <x:c r="L127" s="181"/>
      <x:c r="M127" s="181"/>
      <x:c r="N127" s="181"/>
    </x:row>
  </x:sheetData>
  <x:mergeCells>
    <x:mergeCell ref="B2:H3"/>
    <x:mergeCell ref="J2:N3"/>
    <x:mergeCell ref="B127:N127"/>
  </x:mergeCells>
  <x:pageMargins left="0.7" right="0.7" top="0.75" bottom="0.75" header="0.3" footer="0.3"/>
  <x:drawing xmlns:r="http://schemas.openxmlformats.org/officeDocument/2006/relationships" r:id="R323d86127ba74a15"/>
</x:worksheet>
</file>

<file path=xl/worksheets/sheet2.xml><?xml version="1.0" encoding="utf-8"?>
<x:worksheet xmlns:x="http://schemas.openxmlformats.org/spreadsheetml/2006/main">
  <x:sheetFormatPr baseColWidth="10" defaultColWidth="8.6640625" defaultRowHeight="14"/>
  <x:cols>
    <x:col min="1" max="1" width="11.4140625" customWidth="1"/>
    <x:col min="2" max="2" width="13.75" customWidth="1"/>
    <x:col min="3" max="4" width="28.83203125" customWidth="1"/>
    <x:col min="5" max="5" width="25.25" customWidth="1"/>
    <x:col min="6" max="6" width="30.5" customWidth="1"/>
    <x:col min="7" max="7" width="26.25" customWidth="1"/>
    <x:col min="8" max="8" width="23.5" customWidth="1"/>
    <x:col min="9" max="9" width="8.25" customWidth="1"/>
    <x:col min="10" max="10" width="21.5" customWidth="1"/>
    <x:col min="11" max="11" width="28.1640625" customWidth="1"/>
    <x:col min="12" max="12" width="16.1640625" customWidth="1"/>
    <x:col min="13" max="13" width="22.75" customWidth="1"/>
    <x:col min="14" max="14" width="19.83203125" customWidth="1"/>
    <x:col min="15" max="15" width="22.4140625" customWidth="1"/>
    <x:col min="16" max="16" width="12" customWidth="1"/>
    <x:col min="17" max="17" width="11.4140625" customWidth="1"/>
    <x:col min="18" max="18" width="17.25" customWidth="1"/>
    <x:col min="19" max="20" width="18.25" customWidth="1"/>
    <x:col min="21" max="21" width="22.5" customWidth="1"/>
    <x:col min="22" max="22" width="22.83203125" customWidth="1"/>
    <x:col min="23" max="23" width="27.83203125" customWidth="1"/>
    <x:col min="24" max="24" width="11.4140625" customWidth="1"/>
    <x:col min="25" max="25" width="24.75" customWidth="1"/>
    <x:col min="26" max="26" width="26.5" customWidth="1"/>
    <x:col min="27" max="28" width="20.83203125" customWidth="1"/>
    <x:col min="29" max="29" width="24.5" customWidth="1"/>
    <x:col min="30" max="30" width="27.25" customWidth="1"/>
    <x:col min="31" max="31" width="11.4140625" customWidth="1"/>
    <x:col min="32" max="32" width="12.75" customWidth="1"/>
    <x:col min="33" max="35" width="20.75" customWidth="1"/>
    <x:col min="36" max="37" width="22" customWidth="1"/>
    <x:col min="38" max="38" width="14.08203125" customWidth="1"/>
    <x:col min="39" max="39" width="15.75" customWidth="1"/>
    <x:col min="40" max="40" width="18.1640625" customWidth="1"/>
    <x:col min="41" max="43" width="27.5" customWidth="1"/>
    <x:col min="44" max="44" width="25.75" customWidth="1"/>
  </x:cols>
  <x:sheetData>
    <x:row r="2" ht="9.5" customHeight="1">
      <x:c r="B2" s="29" t="s">
        <x:v>12</x:v>
      </x:c>
      <x:c r="J2" s="29" t="s">
        <x:v>13</x:v>
      </x:c>
      <x:c r="R2" s="29" t="s">
        <x:v>14</x:v>
      </x:c>
      <x:c r="Y2" s="29" t="s">
        <x:v>15</x:v>
      </x:c>
      <x:c r="AF2" s="29" t="s">
        <x:v>16</x:v>
      </x:c>
      <x:c r="AM2" s="29" t="s">
        <x:v>17</x:v>
      </x:c>
    </x:row>
    <x:row r="3" ht="10" customHeight="1"/>
    <x:row r="4" ht="28" customHeight="1">
      <x:c r="B4" s="82" t="s">
        <x:v>18</x:v>
      </x:c>
      <x:c r="C4" s="83"/>
      <x:c r="D4" s="83" t="s">
        <x:v>19</x:v>
      </x:c>
      <x:c r="E4" s="83"/>
      <x:c r="F4" s="83"/>
      <x:c r="G4" s="31" t="s">
        <x:v>20</x:v>
      </x:c>
      <x:c r="H4" s="32" t="n">
        <x:f>D6+C6</x:f>
        <x:v>-0.3271743046475706</x:v>
      </x:c>
      <x:c r="J4" s="82" t="s">
        <x:v>21</x:v>
      </x:c>
      <x:c r="K4" s="83"/>
      <x:c r="L4" s="83" t="s">
        <x:v>22</x:v>
      </x:c>
      <x:c r="M4" s="83"/>
      <x:c r="N4" s="83"/>
      <x:c r="O4" s="31" t="s">
        <x:v>20</x:v>
      </x:c>
      <x:c r="P4" s="32" t="n">
        <x:f>$L$6+$K$6</x:f>
        <x:v>-0.8210812334731701</x:v>
      </x:c>
      <x:c r="R4" s="82" t="s">
        <x:v>23</x:v>
      </x:c>
      <x:c r="S4" s="83"/>
      <x:c r="T4" s="83" t="s">
        <x:v>24</x:v>
      </x:c>
      <x:c r="U4" s="83"/>
      <x:c r="V4" s="83"/>
      <x:c r="W4" s="31" t="s">
        <x:v>20</x:v>
      </x:c>
      <x:c r="X4" s="32" t="n">
        <x:f>T6+S6</x:f>
        <x:v>-0.599872302965356</x:v>
      </x:c>
      <x:c r="Y4" s="30" t="s">
        <x:v>25</x:v>
      </x:c>
      <x:c r="Z4" s="83" t="s">
        <x:v>26</x:v>
      </x:c>
      <x:c r="AA4" s="83"/>
      <x:c r="AB4" s="31" t="s">
        <x:v>27</x:v>
      </x:c>
      <x:c r="AC4" s="31" t="n">
        <x:f>0.012679*(1+0.622981+0.849242)</x:f>
        <x:v>0.031345315416999996</x:v>
      </x:c>
      <x:c r="AD4" s="31" t="s">
        <x:v>20</x:v>
      </x:c>
      <x:c r="AE4" s="32" t="n">
        <x:f>AC4+Z6</x:f>
        <x:v>-0.07953735365860481</x:v>
      </x:c>
      <x:c r="AF4" s="30" t="s">
        <x:v>28</x:v>
      </x:c>
      <x:c r="AG4" s="83" t="s">
        <x:v>29</x:v>
      </x:c>
      <x:c r="AH4" s="83"/>
      <x:c r="AI4" s="83"/>
      <x:c r="AJ4" s="83"/>
      <x:c r="AK4" s="31" t="s">
        <x:v>20</x:v>
      </x:c>
      <x:c r="AL4" s="32" t="n">
        <x:f>AH6+AG6</x:f>
        <x:v>-0.16448675047396935</x:v>
      </x:c>
      <x:c r="AM4" s="30" t="s">
        <x:v>30</x:v>
      </x:c>
      <x:c r="AN4" s="83" t="s">
        <x:v>31</x:v>
      </x:c>
      <x:c r="AO4" s="83"/>
      <x:c r="AP4" s="83"/>
      <x:c r="AQ4" s="31" t="s">
        <x:v>20</x:v>
      </x:c>
      <x:c r="AR4" s="32" t="n">
        <x:f>AO6+AN6</x:f>
        <x:v>-0.014031288964126531</x:v>
      </x:c>
    </x:row>
    <x:row r="5" ht="15" customHeight="1">
      <x:c r="B5" s="84" t="s">
        <x:v>32</x:v>
      </x:c>
      <x:c r="C5" s="85"/>
      <x:c r="D5" s="33" t="s">
        <x:v>27</x:v>
      </x:c>
      <x:c r="E5" s="33" t="s">
        <x:v>33</x:v>
      </x:c>
      <x:c r="F5" s="33" t="s">
        <x:v>34</x:v>
      </x:c>
      <x:c r="G5" s="33"/>
      <x:c r="H5" s="34"/>
      <x:c r="J5" s="84" t="s">
        <x:v>32</x:v>
      </x:c>
      <x:c r="K5" s="85"/>
      <x:c r="L5" s="33" t="s">
        <x:v>27</x:v>
      </x:c>
      <x:c r="M5" s="33" t="s">
        <x:v>35</x:v>
      </x:c>
      <x:c r="N5" s="33" t="s">
        <x:v>36</x:v>
      </x:c>
      <x:c r="O5" s="33" t="s">
        <x:v>37</x:v>
      </x:c>
      <x:c r="P5" s="34" t="s">
        <x:v>33</x:v>
      </x:c>
      <x:c r="R5" s="84" t="s">
        <x:v>32</x:v>
      </x:c>
      <x:c r="S5" s="85"/>
      <x:c r="T5" s="33" t="s">
        <x:v>38</x:v>
      </x:c>
      <x:c r="U5" s="33" t="s">
        <x:v>39</x:v>
      </x:c>
      <x:c r="V5" s="33" t="s">
        <x:v>40</x:v>
      </x:c>
      <x:c r="W5" s="33"/>
      <x:c r="X5" s="34"/>
      <x:c r="Y5" s="84" t="s">
        <x:v>32</x:v>
      </x:c>
      <x:c r="Z5" s="85"/>
      <x:c r="AA5" s="33" t="s">
        <x:v>35</x:v>
      </x:c>
      <x:c r="AB5" s="33" t="s">
        <x:v>41</x:v>
      </x:c>
      <x:c r="AC5" s="33" t="s">
        <x:v>33</x:v>
      </x:c>
      <x:c r="AD5" s="33" t="s">
        <x:v>34</x:v>
      </x:c>
      <x:c r="AE5" s="34" t="s">
        <x:v>42</x:v>
      </x:c>
      <x:c r="AF5" s="84" t="s">
        <x:v>32</x:v>
      </x:c>
      <x:c r="AG5" s="85"/>
      <x:c r="AH5" s="33" t="s">
        <x:v>27</x:v>
      </x:c>
      <x:c r="AI5" s="33" t="s">
        <x:v>35</x:v>
      </x:c>
      <x:c r="AJ5" s="33" t="s">
        <x:v>36</x:v>
      </x:c>
      <x:c r="AK5" s="33" t="s">
        <x:v>37</x:v>
      </x:c>
      <x:c r="AL5" s="34" t="s">
        <x:v>43</x:v>
      </x:c>
      <x:c r="AM5" s="84" t="s">
        <x:v>32</x:v>
      </x:c>
      <x:c r="AN5" s="85"/>
      <x:c r="AO5" s="33" t="s">
        <x:v>27</x:v>
      </x:c>
      <x:c r="AP5" s="33" t="s">
        <x:v>36</x:v>
      </x:c>
      <x:c r="AQ5" s="33" t="s">
        <x:v>43</x:v>
      </x:c>
      <x:c r="AR5" s="34"/>
    </x:row>
    <x:row r="6" ht="16.649999618530273" customHeight="1">
      <x:c r="B6" s="35" t="s">
        <x:v>44</x:v>
      </x:c>
      <x:c r="C6" s="36" t="n">
        <x:f>MIN(G9:G139)</x:f>
        <x:v>-0.3399853046475706</x:v>
      </x:c>
      <x:c r="D6" s="36">
        <x:v>1.2810999999999999E-2</x:v>
      </x:c>
      <x:c r="E6" s="36">
        <x:v>-0.37928099999999998</x:v>
      </x:c>
      <x:c r="F6" s="36">
        <x:v>-0.206507</x:v>
      </x:c>
      <x:c r="G6" s="36"/>
      <x:c r="H6" s="37"/>
      <x:c r="J6" s="35" t="s">
        <x:v>44</x:v>
      </x:c>
      <x:c r="K6" s="90" t="n">
        <x:f>MIN(O22:O139) +2.5</x:f>
        <x:v>-0.8210812334731701</x:v>
      </x:c>
      <x:c r="L6" s="36">
        <x:v>0</x:v>
      </x:c>
      <x:c r="M6" s="36">
        <x:v>0.57546399999999998</x:v>
      </x:c>
      <x:c r="N6" s="36">
        <x:v>0.33669500000000002</x:v>
      </x:c>
      <x:c r="O6" s="36">
        <x:v>-0.19375600000000001</x:v>
      </x:c>
      <x:c r="P6" s="37">
        <x:v>-0.963225</x:v>
      </x:c>
      <x:c r="R6" s="35" t="s">
        <x:v>44</x:v>
      </x:c>
      <x:c r="S6" s="90" t="n">
        <x:f>MIN(W9:W139)+0.75</x:f>
        <x:v>-0.612044952965356</x:v>
      </x:c>
      <x:c r="T6" s="36">
        <x:v>1.217265E-2</x:v>
      </x:c>
      <x:c r="U6" s="36">
        <x:v>0.27252850000000001</x:v>
      </x:c>
      <x:c r="V6" s="36">
        <x:v>-1</x:v>
      </x:c>
      <x:c r="W6" s="36"/>
      <x:c r="X6" s="37"/>
      <x:c r="Y6" s="35" t="s">
        <x:v>44</x:v>
      </x:c>
      <x:c r="Z6" s="36" t="n">
        <x:f>MIN(AD9:AD139)</x:f>
        <x:v>-0.11088266907560482</x:v>
      </x:c>
      <x:c r="AA6" s="36">
        <x:v>-0.62298100000000001</x:v>
      </x:c>
      <x:c r="AB6" s="36">
        <x:v>-0.84924200000000005</x:v>
      </x:c>
      <x:c r="AC6" s="36">
        <x:v>0.10860400000000001</x:v>
      </x:c>
      <x:c r="AD6" s="36">
        <x:v>0.54403500000000005</x:v>
      </x:c>
      <x:c r="AE6" s="37">
        <x:v>-0.59455499999999994</x:v>
      </x:c>
      <x:c r="AF6" s="35" t="s">
        <x:v>44</x:v>
      </x:c>
      <x:c r="AG6" s="36" t="n">
        <x:f>MIN(AK9:AK139)</x:f>
        <x:v>-0.16756075047396934</x:v>
      </x:c>
      <x:c r="AH6" s="36">
        <x:v>3.0739999999999999E-3</x:v>
      </x:c>
      <x:c r="AI6" s="36">
        <x:v>0.88980999999999999</x:v>
      </x:c>
      <x:c r="AJ6" s="36">
        <x:v>0.99079200000000001</x:v>
      </x:c>
      <x:c r="AK6" s="36">
        <x:v>-0.88161699999999998</x:v>
      </x:c>
      <x:c r="AL6" s="37">
        <x:v>-0.74431499999999995</x:v>
      </x:c>
      <x:c r="AM6" s="35" t="s">
        <x:v>44</x:v>
      </x:c>
      <x:c r="AN6" s="36" t="n">
        <x:f>MIN(AR9:AR139)</x:f>
        <x:v>-0.014450373457126532</x:v>
      </x:c>
      <x:c r="AO6" s="36" t="n">
        <x:f>0.007611*(1-0.944937)</x:f>
        <x:v>0.0004190844929999998</x:v>
      </x:c>
      <x:c r="AP6" s="36">
        <x:v>0.94493700000000003</x:v>
      </x:c>
      <x:c r="AQ6" s="36">
        <x:v>-0.67784599999999995</x:v>
      </x:c>
      <x:c r="AR6" s="37"/>
    </x:row>
    <x:row r="7" ht="18" customHeight="1">
      <x:c r="B7" s="38" t="s">
        <x:v>3</x:v>
      </x:c>
      <x:c r="C7" s="39" t="s">
        <x:v>45</x:v>
      </x:c>
      <x:c r="D7" s="39" t="s">
        <x:v>46</x:v>
      </x:c>
      <x:c r="E7" s="39" t="s">
        <x:v>47</x:v>
      </x:c>
      <x:c r="F7" s="39" t="s">
        <x:v>48</x:v>
      </x:c>
      <x:c r="G7" s="39" t="s">
        <x:v>49</x:v>
      </x:c>
      <x:c r="H7" s="40"/>
      <x:c r="J7" s="38" t="s">
        <x:v>3</x:v>
      </x:c>
      <x:c r="K7" s="39" t="s">
        <x:v>50</x:v>
      </x:c>
      <x:c r="L7" s="39" t="s">
        <x:v>51</x:v>
      </x:c>
      <x:c r="M7" s="39" t="s">
        <x:v>52</x:v>
      </x:c>
      <x:c r="N7" s="39" t="s">
        <x:v>48</x:v>
      </x:c>
      <x:c r="O7" s="39" t="s">
        <x:v>49</x:v>
      </x:c>
      <x:c r="P7" s="40" t="s">
        <x:v>53</x:v>
      </x:c>
      <x:c r="R7" s="38" t="s">
        <x:v>3</x:v>
      </x:c>
      <x:c r="S7" s="39" t="s">
        <x:v>54</x:v>
      </x:c>
      <x:c r="T7" s="39" t="s">
        <x:v>55</x:v>
      </x:c>
      <x:c r="U7" s="39" t="s">
        <x:v>52</x:v>
      </x:c>
      <x:c r="V7" s="39" t="s">
        <x:v>48</x:v>
      </x:c>
      <x:c r="W7" s="39" t="s">
        <x:v>56</x:v>
      </x:c>
      <x:c r="X7" s="40" t="s">
        <x:v>57</x:v>
      </x:c>
      <x:c r="Y7" s="38" t="s">
        <x:v>3</x:v>
      </x:c>
      <x:c r="Z7" s="39" t="s">
        <x:v>58</x:v>
      </x:c>
      <x:c r="AA7" s="39" t="s">
        <x:v>59</x:v>
      </x:c>
      <x:c r="AB7" s="39" t="s">
        <x:v>60</x:v>
      </x:c>
      <x:c r="AC7" s="39" t="s">
        <x:v>48</x:v>
      </x:c>
      <x:c r="AD7" s="39" t="s">
        <x:v>49</x:v>
      </x:c>
      <x:c r="AE7" s="40"/>
      <x:c r="AF7" s="38" t="s">
        <x:v>3</x:v>
      </x:c>
      <x:c r="AG7" s="39" t="s">
        <x:v>61</x:v>
      </x:c>
      <x:c r="AH7" s="39" t="s">
        <x:v>62</x:v>
      </x:c>
      <x:c r="AI7" s="39" t="s">
        <x:v>63</x:v>
      </x:c>
      <x:c r="AJ7" s="39" t="s">
        <x:v>48</x:v>
      </x:c>
      <x:c r="AK7" s="39" t="s">
        <x:v>49</x:v>
      </x:c>
      <x:c r="AL7" s="40" t="s">
        <x:v>64</x:v>
      </x:c>
      <x:c r="AM7" s="38" t="s">
        <x:v>3</x:v>
      </x:c>
      <x:c r="AN7" s="39" t="s">
        <x:v>65</x:v>
      </x:c>
      <x:c r="AO7" s="39" t="s">
        <x:v>66</x:v>
      </x:c>
      <x:c r="AP7" s="39" t="s">
        <x:v>67</x:v>
      </x:c>
      <x:c r="AQ7" s="39" t="s">
        <x:v>48</x:v>
      </x:c>
      <x:c r="AR7" s="40" t="s">
        <x:v>49</x:v>
      </x:c>
    </x:row>
    <x:row r="8">
      <x:c r="B8" s="46">
        <x:v>42035</x:v>
      </x:c>
      <x:c r="C8" s="49">
        <x:v>72075908978.293304</x:v>
      </x:c>
      <x:c r="D8" s="52" t="n">
        <x:f t="shared" ref="D8:D39" si="0">LN(C8)</x:f>
        <x:v>25.000985691952827</x:v>
      </x:c>
      <x:c r="E8" s="52">
        <x:v>0</x:v>
      </x:c>
      <x:c r="F8" s="52">
        <x:v>0</x:v>
      </x:c>
      <x:c r="G8" s="52">
        <x:v>0</x:v>
      </x:c>
      <x:c r="H8" s="53"/>
      <x:c r="J8" s="46">
        <x:v>42035</x:v>
      </x:c>
      <x:c r="K8" s="49">
        <x:v>611153046.75</x:v>
      </x:c>
      <x:c r="L8" s="52" t="n">
        <x:f t="shared" ref="L8:L39" si="1">LN(K8/1000000000)</x:f>
        <x:v>-0.4924078654976272</x:v>
      </x:c>
      <x:c r="M8" s="52"/>
      <x:c r="N8" s="52">
        <x:v>0</x:v>
      </x:c>
      <x:c r="O8" s="52"/>
      <x:c r="P8" s="53"/>
      <x:c r="R8" s="46">
        <x:v>42035</x:v>
      </x:c>
      <x:c r="S8" s="49">
        <x:v>74967801</x:v>
      </x:c>
      <x:c r="T8" s="52" t="n">
        <x:f t="shared" ref="T8:T39" si="2">LN(S8/1000000000)</x:f>
        <x:v>-2.5906965776300432</x:v>
      </x:c>
      <x:c r="U8" s="52"/>
      <x:c r="V8" s="52">
        <x:v>0</x:v>
      </x:c>
      <x:c r="W8" s="52"/>
      <x:c r="X8" s="53"/>
      <x:c r="Y8" s="46">
        <x:v>42035</x:v>
      </x:c>
      <x:c r="Z8" s="49">
        <x:v>42710573563.523102</x:v>
      </x:c>
      <x:c r="AA8" s="52" t="n">
        <x:f t="shared" ref="AA8:AA39" si="3">LN(Z8)</x:f>
        <x:v>24.4777123509656</x:v>
      </x:c>
      <x:c r="AB8" s="52">
        <x:v>0</x:v>
      </x:c>
      <x:c r="AC8" s="52">
        <x:v>0</x:v>
      </x:c>
      <x:c r="AD8" s="52">
        <x:v>0</x:v>
      </x:c>
      <x:c r="AE8" s="53"/>
      <x:c r="AF8" s="46">
        <x:v>42035</x:v>
      </x:c>
      <x:c r="AG8" s="49">
        <x:v>23141760147.7108</x:v>
      </x:c>
      <x:c r="AH8" s="52" t="n">
        <x:f t="shared" ref="AH8:AH39" si="4">LN(AG8)</x:f>
        <x:v>23.864904620975175</x:v>
      </x:c>
      <x:c r="AI8" s="52">
        <x:v>0</x:v>
      </x:c>
      <x:c r="AJ8" s="52" t="n">
        <x:f>AL8</x:f>
        <x:v>-0.01783321597122465</x:v>
      </x:c>
      <x:c r="AK8" s="52">
        <x:v>0</x:v>
      </x:c>
      <x:c r="AL8" s="53" t="n">
        <x:f t="shared" ref="AL8:AL39" si="5">AH8-23.8796638369464-$AH$6*(ROW()-7)</x:f>
        <x:v>-0.01783321597122465</x:v>
      </x:c>
      <x:c r="AM8" s="46">
        <x:v>42035</x:v>
      </x:c>
      <x:c r="AN8" s="49">
        <x:v>188775742771.66998</x:v>
      </x:c>
      <x:c r="AO8" s="52" t="n">
        <x:f t="shared" ref="AO8:AO39" si="6">LN(AN8)</x:f>
        <x:v>25.963825601321155</x:v>
      </x:c>
      <x:c r="AP8" s="52">
        <x:v>0</x:v>
      </x:c>
      <x:c r="AQ8" s="52">
        <x:v>0</x:v>
      </x:c>
      <x:c r="AR8" s="53">
        <x:v>0</x:v>
      </x:c>
    </x:row>
    <x:row r="9">
      <x:c r="B9" s="47">
        <x:v>42063</x:v>
      </x:c>
      <x:c r="C9" s="50">
        <x:v>74601415971.389099</x:v>
      </x:c>
      <x:c r="D9" s="54">
        <x:f t="shared" si="0"/>
        <x:v>25.035425324825713</x:v>
      </x:c>
      <x:c r="E9" s="54" t="n">
        <x:f t="shared" ref="E9:E40" si="7">D9-D8</x:f>
        <x:v>0.03443963287288554</x:v>
      </x:c>
      <x:c r="F9" s="54" t="n">
        <x:f>E9-$D$6-$E$6*F8</x:f>
        <x:v>0.02162863287288554</x:v>
      </x:c>
      <x:c r="G9" s="54" t="n">
        <x:f>F9+$E$6*F8</x:f>
        <x:v>0.02162863287288554</x:v>
      </x:c>
      <x:c r="H9" s="55"/>
      <x:c r="J9" s="47">
        <x:v>42063</x:v>
      </x:c>
      <x:c r="K9" s="50">
        <x:v>478081175.25</x:v>
      </x:c>
      <x:c r="L9" s="54">
        <x:f t="shared" si="1"/>
        <x:v>-0.73797473821017845</x:v>
      </x:c>
      <x:c r="M9" s="54" t="n">
        <x:f t="shared" ref="M9:M40" si="8">L9-L8</x:f>
        <x:v>-0.24556687271255123</x:v>
      </x:c>
      <x:c r="N9" s="54">
        <x:v>0</x:v>
      </x:c>
      <x:c r="O9" s="54"/>
      <x:c r="P9" s="55"/>
      <x:c r="R9" s="47">
        <x:v>42063</x:v>
      </x:c>
      <x:c r="S9" s="50">
        <x:v>103252795</x:v>
      </x:c>
      <x:c r="T9" s="54">
        <x:f t="shared" si="2"/>
        <x:v>-2.2705749772894692</x:v>
      </x:c>
      <x:c r="U9" s="54" t="n">
        <x:f t="shared" ref="U9:U40" si="9">T9-T8</x:f>
        <x:v>0.320121600340574</x:v>
      </x:c>
      <x:c r="V9" s="54" t="n">
        <x:f>U9-$T$6</x:f>
        <x:v>0.307948950340574</x:v>
      </x:c>
      <x:c r="W9" s="54" t="n">
        <x:f t="shared" ref="W9:W40" si="10">U9-$T$6</x:f>
        <x:v>0.307948950340574</x:v>
      </x:c>
      <x:c r="X9" s="55"/>
      <x:c r="Y9" s="47">
        <x:v>42063</x:v>
      </x:c>
      <x:c r="Z9" s="50">
        <x:v>43944083759.919502</x:v>
      </x:c>
      <x:c r="AA9" s="54">
        <x:f t="shared" si="3"/>
        <x:v>24.506183839045342</x:v>
      </x:c>
      <x:c r="AB9" s="54" t="n">
        <x:f t="shared" ref="AB9:AB40" si="11">AA9-AA8</x:f>
        <x:v>0.028471488079741647</x:v>
      </x:c>
      <x:c r="AC9" s="54" t="n">
        <x:f>AB9-$AC$4-$AA$6*AB8-$AC$6*AC8</x:f>
        <x:v>-0.0028738273372583487</x:v>
      </x:c>
      <x:c r="AD9" s="54" t="n">
        <x:f>$AA$6*AB8+AC9+$AC$6*AC8</x:f>
        <x:v>-0.0028738273372583487</x:v>
      </x:c>
      <x:c r="AE9" s="55"/>
      <x:c r="AF9" s="47">
        <x:v>42063</x:v>
      </x:c>
      <x:c r="AG9" s="50">
        <x:v>23817865905.815498</x:v>
      </x:c>
      <x:c r="AH9" s="54">
        <x:f t="shared" si="4"/>
        <x:v>23.893701804324881</x:v>
      </x:c>
      <x:c r="AI9" s="54" t="n">
        <x:f t="shared" ref="AI9:AI40" si="12">AH9-AH8</x:f>
        <x:v>0.028797183349706046</x:v>
      </x:c>
      <x:c r="AJ9" s="54" t="n">
        <x:f t="shared" ref="AJ9:AJ19" si="13">AL9-$AI$6*AL8</x:f>
        <x:v>0.0237581412818368</x:v>
      </x:c>
      <x:c r="AK9" s="54" t="n">
        <x:f t="shared" ref="AK9:AK40" si="14">AL9-AL8</x:f>
        <x:v>0.025723183349706046</x:v>
      </x:c>
      <x:c r="AL9" s="55">
        <x:f t="shared" si="5"/>
        <x:v>7.8899673784813967E-3</x:v>
      </x:c>
      <x:c r="AM9" s="47">
        <x:v>42063</x:v>
      </x:c>
      <x:c r="AN9" s="50">
        <x:v>187373678892.965</x:v>
      </x:c>
      <x:c r="AO9" s="54">
        <x:f t="shared" si="6"/>
        <x:v>25.956370742739729</x:v>
      </x:c>
      <x:c r="AP9" s="54" t="n">
        <x:f t="shared" ref="AP9:AP40" si="15">AO9-AO8</x:f>
        <x:v>-0.007454858581425583</x:v>
      </x:c>
      <x:c r="AQ9" s="54" t="n">
        <x:f t="shared" ref="AQ9:AQ19" si="16">AP9-$AO$6</x:f>
        <x:v>-0.007873943074425583</x:v>
      </x:c>
      <x:c r="AR9" s="55" t="n">
        <x:f t="shared" ref="AR9:AR19" si="17">AQ9</x:f>
        <x:v>-0.007873943074425583</x:v>
      </x:c>
    </x:row>
    <x:row r="10">
      <x:c r="B10" s="47" t="n">
        <x:f>EOMONTH(B9,1)</x:f>
        <x:v>42094</x:v>
      </x:c>
      <x:c r="C10" s="50">
        <x:v>82255944992.603394</x:v>
      </x:c>
      <x:c r="D10" s="54">
        <x:f t="shared" si="0"/>
        <x:v>25.133101503525182</x:v>
      </x:c>
      <x:c r="E10" s="54">
        <x:f t="shared" si="7"/>
        <x:v>9.7676178699469318E-2</x:v>
      </x:c>
      <x:c r="F10" s="54" t="n">
        <x:f t="shared" ref="F10:F41" si="18">E10-$D$6-$E$6*F9-$F$6*F8</x:f>
        <x:v>0.09306850820413022</x:v>
      </x:c>
      <x:c r="G10" s="54" t="n">
        <x:f t="shared" ref="G10:G41" si="19">F10+$E$6*F9+$F$6*F8</x:f>
        <x:v>0.08486517869946932</x:v>
      </x:c>
      <x:c r="H10" s="55" t="n">
        <x:f>F10*F10</x:f>
        <x:v>0.008661747219342254</x:v>
      </x:c>
      <x:c r="J10" s="47" t="n">
        <x:f>EOMONTH(J9,1)</x:f>
        <x:v>42094</x:v>
      </x:c>
      <x:c r="K10" s="50">
        <x:v>353014219.25</x:v>
      </x:c>
      <x:c r="L10" s="54">
        <x:f t="shared" si="1"/>
        <x:v>-1.0412469416986314</x:v>
      </x:c>
      <x:c r="M10" s="54">
        <x:f t="shared" si="8"/>
        <x:v>-0.30327220348845296</x:v>
      </x:c>
      <x:c r="N10" s="54">
        <x:v>0</x:v>
      </x:c>
      <x:c r="O10" s="54"/>
      <x:c r="P10" s="55" t="str">
        <x:f>""</x:f>
      </x:c>
      <x:c r="R10" s="47" t="n">
        <x:f>EOMONTH(R9,1)</x:f>
        <x:v>42094</x:v>
      </x:c>
      <x:c r="S10" s="50">
        <x:v>106214931</x:v>
      </x:c>
      <x:c r="T10" s="54">
        <x:f t="shared" si="2"/>
        <x:v>-2.2422905868362601</x:v>
      </x:c>
      <x:c r="U10" s="54">
        <x:f t="shared" si="9"/>
        <x:v>2.8284390453209074E-2</x:v>
      </x:c>
      <x:c r="V10" s="54" t="n">
        <x:f t="shared" ref="V10:V41" si="20">U10-$T$6-$U$6*U9+V9</x:f>
        <x:v>0.23681843123536694</x:v>
      </x:c>
      <x:c r="W10" s="54">
        <x:f t="shared" si="10"/>
        <x:v>1.6111740453209074E-2</x:v>
      </x:c>
      <x:c r="X10" s="55" t="n">
        <x:f t="shared" ref="X10:X41" si="21">U10-($T$6+$U$6*U9+V10-V9)</x:f>
        <x:v>0</x:v>
      </x:c>
      <x:c r="Y10" s="47" t="n">
        <x:f>EOMONTH(Y9,1)</x:f>
        <x:v>42094</x:v>
      </x:c>
      <x:c r="Z10" s="50">
        <x:v>45453257254.351402</x:v>
      </x:c>
      <x:c r="AA10" s="54">
        <x:f t="shared" si="3"/>
        <x:v>24.539950321764366</x:v>
      </x:c>
      <x:c r="AB10" s="54">
        <x:f t="shared" si="11"/>
        <x:v>3.3766482719023827E-2</x:v>
      </x:c>
      <x:c r="AC10" s="54" t="n">
        <x:f>AB10-$AC$4-$AA$6*AB9-$AB$6*AB8-$AC$6*AC9-$AD$6*AC8</x:f>
        <x:v>0.020470472561564968</x:v>
      </x:c>
      <x:c r="AD10" s="54" t="n">
        <x:f>$AA$6*AB9+$AB$6*AB8+AC10+$AC$6*AC9+$AD$6*AC8</x:f>
        <x:v>0.0024211673020238297</x:v>
      </x:c>
      <x:c r="AE10" s="55"/>
      <x:c r="AF10" s="47" t="n">
        <x:f>EOMONTH(AF9,1)</x:f>
        <x:v>42094</x:v>
      </x:c>
      <x:c r="AG10" s="50">
        <x:v>25624956917.570099</x:v>
      </x:c>
      <x:c r="AH10" s="54">
        <x:f t="shared" si="4"/>
        <x:v>23.966832593138012</x:v>
      </x:c>
      <x:c r="AI10" s="54">
        <x:f t="shared" si="12"/>
        <x:v>7.3130788813131176E-2</x:v>
      </x:c>
      <x:c r="AJ10" s="54">
        <x:f t="shared" si="13"/>
        <x:v>7.0926184318566052E-2</x:v>
      </x:c>
      <x:c r="AK10" s="54">
        <x:f t="shared" si="14"/>
        <x:v>7.0056788813131182E-2</x:v>
      </x:c>
      <x:c r="AL10" s="55">
        <x:f t="shared" si="5"/>
        <x:v>7.7946756191612579E-2</x:v>
      </x:c>
      <x:c r="AM10" s="47" t="n">
        <x:f>EOMONTH(AM9,1)</x:f>
        <x:v>42094</x:v>
      </x:c>
      <x:c r="AN10" s="50">
        <x:v>188495125481.845</x:v>
      </x:c>
      <x:c r="AO10" s="54">
        <x:f t="shared" si="6"/>
        <x:v>25.962337983987354</x:v>
      </x:c>
      <x:c r="AP10" s="54">
        <x:f t="shared" si="15"/>
        <x:v>5.9672412476245995E-3</x:v>
      </x:c>
      <x:c r="AQ10" s="54">
        <x:f t="shared" si="16"/>
        <x:v>5.5481567546246001E-3</x:v>
      </x:c>
      <x:c r="AR10" s="55">
        <x:f t="shared" si="17"/>
        <x:v>5.5481567546246001E-3</x:v>
      </x:c>
    </x:row>
    <x:row r="11">
      <x:c r="B11" s="47">
        <x:v>42124</x:v>
      </x:c>
      <x:c r="C11" s="50">
        <x:v>75350439807.596603</x:v>
      </x:c>
      <x:c r="D11" s="54">
        <x:f t="shared" si="0"/>
        <x:v>25.045415598864476</x:v>
      </x:c>
      <x:c r="E11" s="54">
        <x:f t="shared" si="7"/>
        <x:v>-8.7685904660705916E-2</x:v>
      </x:c>
      <x:c r="F11" s="54">
        <x:f t="shared" si="18"/>
        <x:v>-6.0731323711854225E-2</x:v>
      </x:c>
      <x:c r="G11" s="54">
        <x:f t="shared" si="19"/>
        <x:v>-0.1004969046607059</x:v>
      </x:c>
      <x:c r="H11" s="55"/>
      <x:c r="J11" s="47">
        <x:v>42124</x:v>
      </x:c>
      <x:c r="K11" s="50">
        <x:v>513292360.25</x:v>
      </x:c>
      <x:c r="L11" s="54">
        <x:f t="shared" si="1"/>
        <x:v>-0.66690969312297876</x:v>
      </x:c>
      <x:c r="M11" s="54">
        <x:f t="shared" si="8"/>
        <x:v>0.37433724857565265</x:v>
      </x:c>
      <x:c r="N11" s="54">
        <x:v>0</x:v>
      </x:c>
      <x:c r="O11" s="54"/>
      <x:c r="P11" s="55"/>
      <x:c r="R11" s="47">
        <x:v>42124</x:v>
      </x:c>
      <x:c r="S11" s="50">
        <x:v>80676367</x:v>
      </x:c>
      <x:c r="T11" s="54">
        <x:f t="shared" si="2"/>
        <x:v>-2.5173095966571446</x:v>
      </x:c>
      <x:c r="U11" s="54">
        <x:f t="shared" si="9"/>
        <x:v>-0.27501900982088445</x:v>
      </x:c>
      <x:c r="V11" s="54">
        <x:f t="shared" si="20"/>
        <x:v>-5.8081531089144878E-2</x:v>
      </x:c>
      <x:c r="W11" s="54">
        <x:f t="shared" si="10"/>
        <x:v>-0.28719165982088446</x:v>
      </x:c>
      <x:c r="X11" s="55">
        <x:f t="shared" si="21"/>
        <x:v>0</x:v>
      </x:c>
      <x:c r="Y11" s="47">
        <x:v>42124</x:v>
      </x:c>
      <x:c r="Z11" s="50">
        <x:v>46226660278.978302</x:v>
      </x:c>
      <x:c r="AA11" s="54">
        <x:f t="shared" si="3"/>
        <x:v>24.55682253091322</x:v>
      </x:c>
      <x:c r="AB11" s="54">
        <x:f t="shared" si="11"/>
        <x:v>1.6872209148854012E-2</x:v>
      </x:c>
      <x:c r="AC11" s="54" t="n">
        <x:f t="shared" ref="AC11:AC42" si="22">AB11-$AC$4-$AA$6*AB10-$AB$6*AB9-$AC$6*AC10-$AD$6*AC9-$AE$6*AC8</x:f>
        <x:v>0.0300822418357993</x:v>
      </x:c>
      <x:c r="AD11" s="54" t="n">
        <x:f t="shared" ref="AD11:AD42" si="23">$AA$6*AB10+$AB$6*AB9+AC11+$AC$6*AC10+$AD$6*AC9+$AE$6*AC8</x:f>
        <x:v>-0.014473106268145984</x:v>
      </x:c>
      <x:c r="AE11" s="55"/>
      <x:c r="AF11" s="47">
        <x:v>42124</x:v>
      </x:c>
      <x:c r="AG11" s="50">
        <x:v>27206035666.5481</x:v>
      </x:c>
      <x:c r="AH11" s="54">
        <x:f t="shared" si="4"/>
        <x:v>24.026704685137755</x:v>
      </x:c>
      <x:c r="AI11" s="54">
        <x:f t="shared" si="12"/>
        <x:v>5.9872091999743304E-2</x:v>
      </x:c>
      <x:c r="AJ11" s="54">
        <x:f t="shared" si="13"/>
        <x:v>6.5387045064497093E-2</x:v>
      </x:c>
      <x:c r="AK11" s="54">
        <x:f t="shared" si="14"/>
        <x:v>5.6798091999743297E-2</x:v>
      </x:c>
      <x:c r="AL11" s="55">
        <x:f t="shared" si="5"/>
        <x:v>0.13474484819135588</x:v>
      </x:c>
      <x:c r="AM11" s="47">
        <x:v>42124</x:v>
      </x:c>
      <x:c r="AN11" s="50">
        <x:v>188479907389.38998</x:v>
      </x:c>
      <x:c r="AO11" s="54">
        <x:f t="shared" si="6"/>
        <x:v>25.96225724605441</x:v>
      </x:c>
      <x:c r="AP11" s="54">
        <x:f t="shared" si="15"/>
        <x:v>-8.073793294371967E-5</x:v>
      </x:c>
      <x:c r="AQ11" s="54">
        <x:f t="shared" si="16"/>
        <x:v>-4.9982242594371945E-4</x:v>
      </x:c>
      <x:c r="AR11" s="55">
        <x:f t="shared" si="17"/>
        <x:v>-4.9982242594371945E-4</x:v>
      </x:c>
    </x:row>
    <x:row r="12">
      <x:c r="B12" s="47">
        <x:v>42155</x:v>
      </x:c>
      <x:c r="C12" s="50">
        <x:v>75069763437.072205</x:v>
      </x:c>
      <x:c r="D12" s="54">
        <x:f t="shared" si="0"/>
        <x:v>25.041683697295134</x:v>
      </x:c>
      <x:c r="E12" s="54">
        <x:f t="shared" si="7"/>
        <x:v>-3.7319015693419999E-3</x:v>
      </x:c>
      <x:c r="F12" s="54">
        <x:f t="shared" si="18"/>
        <x:v>-2.0357840334387457E-2</x:v>
      </x:c>
      <x:c r="G12" s="54">
        <x:f t="shared" si="19"/>
        <x:v>-1.6542901569341996E-2</x:v>
      </x:c>
      <x:c r="H12" s="55"/>
      <x:c r="J12" s="47">
        <x:v>42155</x:v>
      </x:c>
      <x:c r="K12" s="50">
        <x:v>306331385.25</x:v>
      </x:c>
      <x:c r="L12" s="54">
        <x:f t="shared" si="1"/>
        <x:v>-1.1830878046727784</x:v>
      </x:c>
      <x:c r="M12" s="54">
        <x:f t="shared" si="8"/>
        <x:v>-0.51617811154979965</x:v>
      </x:c>
      <x:c r="N12" s="54" t="n">
        <x:f>0</x:f>
        <x:v>0</x:v>
      </x:c>
      <x:c r="O12" s="54"/>
      <x:c r="P12" s="55"/>
      <x:c r="R12" s="47">
        <x:v>42155</x:v>
      </x:c>
      <x:c r="S12" s="50">
        <x:v>77180061</x:v>
      </x:c>
      <x:c r="T12" s="54">
        <x:f t="shared" si="2"/>
        <x:v>-2.5616141325127799</x:v>
      </x:c>
      <x:c r="U12" s="54">
        <x:f t="shared" si="9"/>
        <x:v>-4.4304535855635319E-2</x:v>
      </x:c>
      <x:c r="V12" s="54">
        <x:f t="shared" si="20"/>
        <x:v>-3.9608198726809284E-2</x:v>
      </x:c>
      <x:c r="W12" s="54">
        <x:f t="shared" si="10"/>
        <x:v>-5.6477185855635319E-2</x:v>
      </x:c>
      <x:c r="X12" s="55">
        <x:f t="shared" si="21"/>
        <x:v>0</x:v>
      </x:c>
      <x:c r="Y12" s="47">
        <x:v>42155</x:v>
      </x:c>
      <x:c r="Z12" s="50">
        <x:v>46371714308.264198</x:v>
      </x:c>
      <x:c r="AA12" s="54">
        <x:f t="shared" si="3"/>
        <x:v>24.559955504868345</x:v>
      </x:c>
      <x:c r="AB12" s="54">
        <x:f t="shared" si="11"/>
        <x:v>3.132973955125351E-3</x:v>
      </x:c>
      <x:c r="AC12" s="54">
        <x:f t="shared" si="22"/>
        <x:v>-5.1377141617129744E-3</x:v>
      </x:c>
      <x:c r="AD12" s="54">
        <x:f t="shared" si="23"/>
        <x:v>-2.8212341461874638E-2</x:v>
      </x:c>
      <x:c r="AE12" s="55"/>
      <x:c r="AF12" s="47">
        <x:v>42155</x:v>
      </x:c>
      <x:c r="AG12" s="50">
        <x:v>27205232976.1964</x:v>
      </x:c>
      <x:c r="AH12" s="54">
        <x:f t="shared" si="4"/>
        <x:v>24.026675180574756</x:v>
      </x:c>
      <x:c r="AI12" s="54">
        <x:f t="shared" si="12"/>
        <x:v>-2.9504562998994288E-5</x:v>
      </x:c>
      <x:c r="AJ12" s="54">
        <x:f t="shared" si="13"/>
        <x:v>1.174403025920652E-2</x:v>
      </x:c>
      <x:c r="AK12" s="54">
        <x:f t="shared" si="14"/>
        <x:v>-3.1035045629989877E-3</x:v>
      </x:c>
      <x:c r="AL12" s="55">
        <x:f t="shared" si="5"/>
        <x:v>0.13164134362835689</x:v>
      </x:c>
      <x:c r="AM12" s="47">
        <x:v>42155</x:v>
      </x:c>
      <x:c r="AN12" s="50">
        <x:v>189147794780.32498</x:v>
      </x:c>
      <x:c r="AO12" s="54">
        <x:f t="shared" si="6"/>
        <x:v>25.965794529381359</x:v>
      </x:c>
      <x:c r="AP12" s="54">
        <x:f t="shared" si="15"/>
        <x:v>3.5372833269491366E-3</x:v>
      </x:c>
      <x:c r="AQ12" s="54">
        <x:f t="shared" si="16"/>
        <x:v>3.1181988339491367E-3</x:v>
      </x:c>
      <x:c r="AR12" s="55">
        <x:f t="shared" si="17"/>
        <x:v>3.1181988339491367E-3</x:v>
      </x:c>
    </x:row>
    <x:row r="13">
      <x:c r="B13" s="47">
        <x:v>42185</x:v>
      </x:c>
      <x:c r="C13" s="50">
        <x:v>65251526816.745995</x:v>
      </x:c>
      <x:c r="D13" s="54">
        <x:f t="shared" si="0"/>
        <x:v>24.901515282365811</x:v>
      </x:c>
      <x:c r="E13" s="54">
        <x:f t="shared" si="7"/>
        <x:v>-0.14016841492932386</x:v>
      </x:c>
      <x:c r="F13" s="54">
        <x:f t="shared" si="18"/>
        <x:v>-0.17324220043495453</x:v>
      </x:c>
      <x:c r="G13" s="54">
        <x:f t="shared" si="19"/>
        <x:v>-0.15297941492932385</x:v>
      </x:c>
      <x:c r="H13" s="55"/>
      <x:c r="J13" s="47">
        <x:v>42185</x:v>
      </x:c>
      <x:c r="K13" s="50">
        <x:v>395784104.75</x:v>
      </x:c>
      <x:c r="L13" s="54">
        <x:f t="shared" si="1"/>
        <x:v>-0.926886406423029</x:v>
      </x:c>
      <x:c r="M13" s="54">
        <x:f t="shared" si="8"/>
        <x:v>0.25620139824974941</x:v>
      </x:c>
      <x:c r="N13" s="54">
        <x:v>0</x:v>
      </x:c>
      <x:c r="O13" s="54"/>
      <x:c r="P13" s="55"/>
      <x:c r="R13" s="47">
        <x:v>42185</x:v>
      </x:c>
      <x:c r="S13" s="50">
        <x:v>147784953</x:v>
      </x:c>
      <x:c r="T13" s="54">
        <x:f t="shared" si="2"/>
        <x:v>-1.9119970821459324</x:v>
      </x:c>
      <x:c r="U13" s="54">
        <x:f t="shared" si="9"/>
        <x:v>0.64961705036684747</x:v>
      </x:c>
      <x:c r="V13" s="54">
        <x:f t="shared" si="20"/>
        <x:v>0.6099104503399706</x:v>
      </x:c>
      <x:c r="W13" s="54">
        <x:f t="shared" si="10"/>
        <x:v>0.63744440036684746</x:v>
      </x:c>
      <x:c r="X13" s="55">
        <x:f t="shared" si="21"/>
        <x:v>0</x:v>
      </x:c>
      <x:c r="Y13" s="47">
        <x:v>42185</x:v>
      </x:c>
      <x:c r="Z13" s="50">
        <x:v>46815094532.533302</x:v>
      </x:c>
      <x:c r="AA13" s="54">
        <x:f t="shared" si="3"/>
        <x:v>24.569471520613945</x:v>
      </x:c>
      <x:c r="AB13" s="54">
        <x:f t="shared" si="11"/>
        <x:v>9.516015745600015E-3</x:v>
      </x:c>
      <x:c r="AC13" s="54">
        <x:f t="shared" si="22"/>
        <x:v>-9.1859220963500954E-3</x:v>
      </x:c>
      <x:c r="AD13" s="54">
        <x:f t="shared" si="23"/>
        <x:v>-2.1829299671399981E-2</x:v>
      </x:c>
      <x:c r="AE13" s="55"/>
      <x:c r="AF13" s="47">
        <x:v>42185</x:v>
      </x:c>
      <x:c r="AG13" s="50">
        <x:v>26096903271.410702</x:v>
      </x:c>
      <x:c r="AH13" s="54">
        <x:f t="shared" si="4"/>
        <x:v>23.985082495630802</x:v>
      </x:c>
      <x:c r="AI13" s="54">
        <x:f t="shared" si="12"/>
        <x:v>-4.1592684943953628E-2</x:v>
      </x:c>
      <x:c r="AJ13" s="54">
        <x:f t="shared" si="13"/>
        <x:v>-3.0161125289544982E-2</x:v>
      </x:c>
      <x:c r="AK13" s="54">
        <x:f t="shared" si="14"/>
        <x:v>-4.4666684943953636E-2</x:v>
      </x:c>
      <x:c r="AL13" s="55">
        <x:f t="shared" si="5"/>
        <x:v>8.6974658684403253E-2</x:v>
      </x:c>
      <x:c r="AM13" s="47">
        <x:v>42185</x:v>
      </x:c>
      <x:c r="AN13" s="50">
        <x:v>188588971248.07498</x:v>
      </x:c>
      <x:c r="AO13" s="54">
        <x:f t="shared" si="6"/>
        <x:v>25.962835728490404</x:v>
      </x:c>
      <x:c r="AP13" s="54">
        <x:f t="shared" si="15"/>
        <x:v>-2.9588008909549046E-3</x:v>
      </x:c>
      <x:c r="AQ13" s="54">
        <x:f t="shared" si="16"/>
        <x:v>-3.3778853839549045E-3</x:v>
      </x:c>
      <x:c r="AR13" s="55">
        <x:f t="shared" si="17"/>
        <x:v>-3.3778853839549045E-3</x:v>
      </x:c>
    </x:row>
    <x:row r="14">
      <x:c r="B14" s="47">
        <x:v>42216</x:v>
      </x:c>
      <x:c r="C14" s="50">
        <x:v>65299304898.655998</x:v>
      </x:c>
      <x:c r="D14" s="54">
        <x:f t="shared" si="0"/>
        <x:v>24.902247228434867</x:v>
      </x:c>
      <x:c r="E14" s="54">
        <x:f t="shared" si="7"/>
        <x:v>7.31946069056022E-4</x:v>
      </x:c>
      <x:c r="F14" s="54">
        <x:f t="shared" si="18"/>
        <x:v>-8.1990565488047312E-2</x:v>
      </x:c>
      <x:c r="G14" s="54">
        <x:f t="shared" si="19"/>
        <x:v>-1.2079053930943981E-2</x:v>
      </x:c>
      <x:c r="H14" s="55"/>
      <x:c r="J14" s="47">
        <x:v>42216</x:v>
      </x:c>
      <x:c r="K14" s="50">
        <x:v>450816715.25</x:v>
      </x:c>
      <x:c r="L14" s="54">
        <x:f t="shared" si="1"/>
        <x:v>-0.79669441842229527</x:v>
      </x:c>
      <x:c r="M14" s="54">
        <x:f t="shared" si="8"/>
        <x:v>0.13019198800073373</x:v>
      </x:c>
      <x:c r="N14" s="54">
        <x:v>0</x:v>
      </x:c>
      <x:c r="O14" s="54" t="str">
        <x:f>""</x:f>
      </x:c>
      <x:c r="P14" s="55"/>
      <x:c r="R14" s="47">
        <x:v>42216</x:v>
      </x:c>
      <x:c r="S14" s="50">
        <x:v>146625620.5</x:v>
      </x:c>
      <x:c r="T14" s="54">
        <x:f t="shared" si="2"/>
        <x:v>-1.9198727401333939</x:v>
      </x:c>
      <x:c r="U14" s="54">
        <x:f t="shared" si="9"/>
        <x:v>-7.8756579874614818E-3</x:v>
      </x:c>
      <x:c r="V14" s="54">
        <x:f t="shared" si="20"/>
        <x:v>0.41282298204160772</x:v>
      </x:c>
      <x:c r="W14" s="54">
        <x:f t="shared" si="10"/>
        <x:v>-2.0048307987461482E-2</x:v>
      </x:c>
      <x:c r="X14" s="55">
        <x:f t="shared" si="21"/>
        <x:v>0</x:v>
      </x:c>
      <x:c r="Y14" s="47">
        <x:v>42216</x:v>
      </x:c>
      <x:c r="Z14" s="50">
        <x:v>48106101801.5355</x:v>
      </x:c>
      <x:c r="AA14" s="54">
        <x:f t="shared" si="3"/>
        <x:v>24.596674862593289</x:v>
      </x:c>
      <x:c r="AB14" s="54">
        <x:f t="shared" si="11"/>
        <x:v>2.7203341979344486E-2</x:v>
      </x:c>
      <x:c r="AC14" s="54">
        <x:f t="shared" si="22"/>
        <x:v>2.6125248137155874E-2</x:v>
      </x:c>
      <x:c r="AD14" s="54">
        <x:f t="shared" si="23"/>
        <x:v>-4.141973437655511E-3</x:v>
      </x:c>
      <x:c r="AE14" s="55"/>
      <x:c r="AF14" s="47">
        <x:v>42216</x:v>
      </x:c>
      <x:c r="AG14" s="50">
        <x:v>25864678246.039001</x:v>
      </x:c>
      <x:c r="AH14" s="54">
        <x:f t="shared" si="4"/>
        <x:v>23.976144100581195</x:v>
      </x:c>
      <x:c r="AI14" s="54">
        <x:f t="shared" si="12"/>
        <x:v>-8.9383950496078057E-3</x:v>
      </x:c>
      <x:c r="AJ14" s="54">
        <x:f t="shared" si="13"/>
        <x:v>-2.4286574091734042E-3</x:v>
      </x:c>
      <x:c r="AK14" s="54">
        <x:f t="shared" si="14"/>
        <x:v>-1.2012395049607799E-2</x:v>
      </x:c>
      <x:c r="AL14" s="55">
        <x:f t="shared" si="5"/>
        <x:v>7.4962263634795454E-2</x:v>
      </x:c>
      <x:c r="AM14" s="47">
        <x:v>42216</x:v>
      </x:c>
      <x:c r="AN14" s="50">
        <x:v>191675891851.79498</x:v>
      </x:c>
      <x:c r="AO14" s="54">
        <x:f t="shared" si="6"/>
        <x:v>25.979071719318043</x:v>
      </x:c>
      <x:c r="AP14" s="54">
        <x:f t="shared" si="15"/>
        <x:v>1.6235990827638602E-2</x:v>
      </x:c>
      <x:c r="AQ14" s="54">
        <x:f t="shared" si="16"/>
        <x:v>1.5816906334638604E-2</x:v>
      </x:c>
      <x:c r="AR14" s="55">
        <x:f t="shared" si="17"/>
        <x:v>1.5816906334638604E-2</x:v>
      </x:c>
    </x:row>
    <x:row r="15">
      <x:c r="B15" s="47">
        <x:v>42247</x:v>
      </x:c>
      <x:c r="C15" s="50">
        <x:v>73591080451.432098</x:v>
      </x:c>
      <x:c r="D15" s="54">
        <x:f t="shared" si="0"/>
        <x:v>25.021789665818613</x:v>
      </x:c>
      <x:c r="E15" s="54">
        <x:f t="shared" si="7"/>
        <x:v>0.11954243738374615</x:v>
      </x:c>
      <x:c r="F15" s="54">
        <x:f t="shared" si="18"/>
        <x:v>3.9858246629652913E-2</x:v>
      </x:c>
      <x:c r="G15" s="54">
        <x:f t="shared" si="19"/>
        <x:v>0.10673143738374614</x:v>
      </x:c>
      <x:c r="H15" s="55"/>
      <x:c r="J15" s="47">
        <x:v>42247</x:v>
      </x:c>
      <x:c r="K15" s="50">
        <x:v>788014037.25</x:v>
      </x:c>
      <x:c r="L15" s="54">
        <x:f t="shared" si="1"/>
        <x:v>-0.23823937551388574</x:v>
      </x:c>
      <x:c r="M15" s="54">
        <x:f t="shared" si="8"/>
        <x:v>0.55845504290840953</x:v>
      </x:c>
      <x:c r="N15" s="54">
        <x:v>0</x:v>
      </x:c>
      <x:c r="O15" s="54"/>
      <x:c r="P15" s="55"/>
      <x:c r="R15" s="47">
        <x:v>42247</x:v>
      </x:c>
      <x:c r="S15" s="50">
        <x:v>148890147</x:v>
      </x:c>
      <x:c r="T15" s="54">
        <x:f t="shared" si="2"/>
        <x:v>-1.9045465134091004</x:v>
      </x:c>
      <x:c r="U15" s="54">
        <x:f t="shared" si="9"/>
        <x:v>1.5326226724293512E-2</x:v>
      </x:c>
      <x:c r="V15" s="54">
        <x:f t="shared" si="20"/>
        <x:v>0.41812290002373714</x:v>
      </x:c>
      <x:c r="W15" s="54">
        <x:f t="shared" si="10"/>
        <x:v>3.1535767242935123E-3</x:v>
      </x:c>
      <x:c r="X15" s="55">
        <x:f t="shared" si="21"/>
        <x:v>0</x:v>
      </x:c>
      <x:c r="Y15" s="47">
        <x:v>42247</x:v>
      </x:c>
      <x:c r="Z15" s="50">
        <x:v>48597717954.688202</x:v>
      </x:c>
      <x:c r="AA15" s="54">
        <x:f t="shared" si="3"/>
        <x:v>24.606842411085555</x:v>
      </x:c>
      <x:c r="AB15" s="54">
        <x:f t="shared" si="11"/>
        <x:v>1.0167548492265865E-2</x:v>
      </x:c>
      <x:c r="AC15" s="54">
        <x:f t="shared" si="22"/>
        <x:v>2.9563015443076152E-3</x:v>
      </x:c>
      <x:c r="AD15" s="54">
        <x:f t="shared" si="23"/>
        <x:v>-2.1177766924734134E-2</x:v>
      </x:c>
      <x:c r="AE15" s="55"/>
      <x:c r="AF15" s="47">
        <x:v>42247</x:v>
      </x:c>
      <x:c r="AG15" s="50">
        <x:v>23803639242.491802</x:v>
      </x:c>
      <x:c r="AH15" s="54">
        <x:f t="shared" si="4"/>
        <x:v>23.893104315282791</x:v>
      </x:c>
      <x:c r="AI15" s="54">
        <x:f t="shared" si="12"/>
        <x:v>-8.3039785298403501E-2</x:v>
      </x:c>
      <x:c r="AJ15" s="54">
        <x:f t="shared" si="13"/>
        <x:v>-7.7853693468485391E-2</x:v>
      </x:c>
      <x:c r="AK15" s="54">
        <x:f t="shared" si="14"/>
        <x:v>-8.6113785298403508E-2</x:v>
      </x:c>
      <x:c r="AL15" s="55">
        <x:f t="shared" si="5"/>
        <x:v>-1.1151521663608051E-2</x:v>
      </x:c>
      <x:c r="AM15" s="47">
        <x:v>42247</x:v>
      </x:c>
      <x:c r="AN15" s="50">
        <x:v>191079332904.79498</x:v>
      </x:c>
      <x:c r="AO15" s="54">
        <x:f t="shared" si="6"/>
        <x:v>25.9759545342793</x:v>
      </x:c>
      <x:c r="AP15" s="54">
        <x:f t="shared" si="15"/>
        <x:v>-3.1171850387430311E-3</x:v>
      </x:c>
      <x:c r="AQ15" s="54">
        <x:f t="shared" si="16"/>
        <x:v>-3.536269531743031E-3</x:v>
      </x:c>
      <x:c r="AR15" s="55">
        <x:f t="shared" si="17"/>
        <x:v>-3.536269531743031E-3</x:v>
      </x:c>
    </x:row>
    <x:row r="16">
      <x:c r="B16" s="47">
        <x:v>42277</x:v>
      </x:c>
      <x:c r="C16" s="50">
        <x:v>76845764461.058701</x:v>
      </x:c>
      <x:c r="D16" s="54">
        <x:f t="shared" si="0"/>
        <x:v>25.065066191047279</x:v>
      </x:c>
      <x:c r="E16" s="54">
        <x:f t="shared" si="7"/>
        <x:v>4.3276525228666429E-2</x:v>
      </x:c>
      <x:c r="F16" s="54">
        <x:f t="shared" si="18"/>
        <x:v>2.8651375161367631E-2</x:v>
      </x:c>
      <x:c r="G16" s="54">
        <x:f t="shared" si="19"/>
        <x:v>3.046552522866643E-2</x:v>
      </x:c>
      <x:c r="H16" s="55"/>
      <x:c r="J16" s="47">
        <x:v>42277</x:v>
      </x:c>
      <x:c r="K16" s="50">
        <x:v>729388902.75</x:v>
      </x:c>
      <x:c r="L16" s="54">
        <x:f t="shared" si="1"/>
        <x:v>-0.31554821494045937</x:v>
      </x:c>
      <x:c r="M16" s="54">
        <x:f t="shared" si="8"/>
        <x:v>-7.7308839426573628E-2</x:v>
      </x:c>
      <x:c r="N16" s="54">
        <x:v>0</x:v>
      </x:c>
      <x:c r="O16" s="54"/>
      <x:c r="P16" s="55"/>
      <x:c r="R16" s="47">
        <x:v>42277</x:v>
      </x:c>
      <x:c r="S16" s="50">
        <x:v>110720685.5</x:v>
      </x:c>
      <x:c r="T16" s="54">
        <x:f t="shared" si="2"/>
        <x:v>-2.2007445958385912</x:v>
      </x:c>
      <x:c r="U16" s="54">
        <x:f t="shared" si="9"/>
        <x:v>-0.29619808242949075</x:v>
      </x:c>
      <x:c r="V16" s="54">
        <x:f t="shared" si="20"/>
        <x:v>0.10557533401441477</x:v>
      </x:c>
      <x:c r="W16" s="54">
        <x:f t="shared" si="10"/>
        <x:v>-0.30837073242949076</x:v>
      </x:c>
      <x:c r="X16" s="55">
        <x:f t="shared" si="21"/>
        <x:v>0</x:v>
      </x:c>
      <x:c r="Y16" s="47">
        <x:v>42277</x:v>
      </x:c>
      <x:c r="Z16" s="50">
        <x:v>51048598009.554398</x:v>
      </x:c>
      <x:c r="AA16" s="54">
        <x:f t="shared" si="3"/>
        <x:v>24.656043918095822</x:v>
      </x:c>
      <x:c r="AB16" s="54">
        <x:f t="shared" si="11"/>
        <x:v>4.920150701026671E-2</x:v>
      </x:c>
      <x:c r="AC16" s="54">
        <x:f t="shared" si="22"/>
        <x:v>2.7296950214538453E-2</x:v>
      </x:c>
      <x:c r="AD16" s="54">
        <x:f t="shared" si="23"/>
        <x:v>1.785619159326671E-2</x:v>
      </x:c>
      <x:c r="AE16" s="55"/>
      <x:c r="AF16" s="47">
        <x:v>42277</x:v>
      </x:c>
      <x:c r="AG16" s="50">
        <x:v>25507849125.092598</x:v>
      </x:c>
      <x:c r="AH16" s="54">
        <x:f t="shared" si="4"/>
        <x:v>23.962252050574534</x:v>
      </x:c>
      <x:c r="AI16" s="54">
        <x:f t="shared" si="12"/>
        <x:v>6.9147735291743118E-2</x:v>
      </x:c>
      <x:c r="AJ16" s="54">
        <x:f t="shared" si="13"/>
        <x:v>6.4844949119630152E-2</x:v>
      </x:c>
      <x:c r="AK16" s="54">
        <x:f t="shared" si="14"/>
        <x:v>6.6073735291743124E-2</x:v>
      </x:c>
      <x:c r="AL16" s="55">
        <x:f t="shared" si="5"/>
        <x:v>5.4922213628135069E-2</x:v>
      </x:c>
      <x:c r="AM16" s="47">
        <x:v>42277</x:v>
      </x:c>
      <x:c r="AN16" s="50">
        <x:v>192803779382.79498</x:v>
      </x:c>
      <x:c r="AO16" s="54">
        <x:f t="shared" si="6"/>
        <x:v>25.984938821538584</x:v>
      </x:c>
      <x:c r="AP16" s="54">
        <x:f t="shared" si="15"/>
        <x:v>8.9842872592846845E-3</x:v>
      </x:c>
      <x:c r="AQ16" s="54">
        <x:f t="shared" si="16"/>
        <x:v>8.5652027662846842E-3</x:v>
      </x:c>
      <x:c r="AR16" s="55">
        <x:f t="shared" si="17"/>
        <x:v>8.5652027662846842E-3</x:v>
      </x:c>
    </x:row>
    <x:row r="17">
      <x:c r="B17" s="47">
        <x:v>42308</x:v>
      </x:c>
      <x:c r="C17" s="50">
        <x:v>72867279652.211395</x:v>
      </x:c>
      <x:c r="D17" s="54">
        <x:f t="shared" si="0"/>
        <x:v>25.011905536412776</x:v>
      </x:c>
      <x:c r="E17" s="54">
        <x:f t="shared" si="7"/>
        <x:v>-5.3160654634503146E-2</x:v>
      </x:c>
      <x:c r="F17" s="54">
        <x:f t="shared" si="18"/>
        <x:v>-4.6873725475174738E-2</x:v>
      </x:c>
      <x:c r="G17" s="54">
        <x:f t="shared" si="19"/>
        <x:v>-6.5971654634503149E-2</x:v>
      </x:c>
      <x:c r="H17" s="55"/>
      <x:c r="J17" s="47">
        <x:v>42308</x:v>
      </x:c>
      <x:c r="K17" s="50">
        <x:v>603902944.75</x:v>
      </x:c>
      <x:c r="L17" s="54">
        <x:f t="shared" si="1"/>
        <x:v>-0.50434178145894171</x:v>
      </x:c>
      <x:c r="M17" s="54">
        <x:f t="shared" si="8"/>
        <x:v>-0.18879356651848234</x:v>
      </x:c>
      <x:c r="N17" s="54">
        <x:v>0</x:v>
      </x:c>
      <x:c r="O17" s="54"/>
      <x:c r="P17" s="55"/>
      <x:c r="R17" s="47">
        <x:v>42308</x:v>
      </x:c>
      <x:c r="S17" s="50">
        <x:v>175124473</x:v>
      </x:c>
      <x:c r="T17" s="54">
        <x:f t="shared" si="2"/>
        <x:v>-1.7422582836085803</x:v>
      </x:c>
      <x:c r="U17" s="54">
        <x:f t="shared" si="9"/>
        <x:v>0.45848631223001091</x:v>
      </x:c>
      <x:c r="V17" s="54">
        <x:f t="shared" si="20"/>
        <x:v>0.63261141535181109</x:v>
      </x:c>
      <x:c r="W17" s="54">
        <x:f t="shared" si="10"/>
        <x:v>0.4463136622300109</x:v>
      </x:c>
      <x:c r="X17" s="55">
        <x:f t="shared" si="21"/>
        <x:v>0</x:v>
      </x:c>
      <x:c r="Y17" s="47">
        <x:v>42308</x:v>
      </x:c>
      <x:c r="Z17" s="50">
        <x:v>47495652995.218796</x:v>
      </x:c>
      <x:c r="AA17" s="54">
        <x:f t="shared" si="3"/>
        <x:v>24.583904027909043</x:v>
      </x:c>
      <x:c r="AB17" s="54">
        <x:f t="shared" si="11"/>
        <x:v>-7.2139890186779354E-2</x:v>
      </x:c>
      <x:c r="AC17" s="54">
        <x:f t="shared" si="22"/>
        <x:v>-5.3238884933917964E-2</x:v>
      </x:c>
      <x:c r="AD17" s="54">
        <x:f t="shared" si="23"/>
        <x:v>-0.10348520560377936</x:v>
      </x:c>
      <x:c r="AE17" s="55"/>
      <x:c r="AF17" s="47">
        <x:v>42308</x:v>
      </x:c>
      <x:c r="AG17" s="50">
        <x:v>25693284893.611801</x:v>
      </x:c>
      <x:c r="AH17" s="54">
        <x:f t="shared" si="4"/>
        <x:v>23.969495506519568</x:v>
      </x:c>
      <x:c r="AI17" s="54">
        <x:f t="shared" si="12"/>
        <x:v>7.2434559450336167E-3</x:v>
      </x:c>
      <x:c r="AJ17" s="54">
        <x:f t="shared" si="13"/>
        <x:v>1.0221334664717814E-2</x:v>
      </x:c>
      <x:c r="AK17" s="54">
        <x:f t="shared" si="14"/>
        <x:v>4.1694559450336094E-3</x:v>
      </x:c>
      <x:c r="AL17" s="55">
        <x:f t="shared" si="5"/>
        <x:v>5.9091669573168679E-2</x:v>
      </x:c>
      <x:c r="AM17" s="47">
        <x:v>42308</x:v>
      </x:c>
      <x:c r="AN17" s="50">
        <x:v>194271003194.995</x:v>
      </x:c>
      <x:c r="AO17" s="54">
        <x:f t="shared" si="6"/>
        <x:v>25.992519944905087</x:v>
      </x:c>
      <x:c r="AP17" s="54">
        <x:f t="shared" si="15"/>
        <x:v>7.581123366502851E-3</x:v>
      </x:c>
      <x:c r="AQ17" s="54">
        <x:f t="shared" si="16"/>
        <x:v>7.1620388735028516E-3</x:v>
      </x:c>
      <x:c r="AR17" s="55">
        <x:f t="shared" si="17"/>
        <x:v>7.1620388735028516E-3</x:v>
      </x:c>
    </x:row>
    <x:row r="18">
      <x:c r="B18" s="47">
        <x:v>42338</x:v>
      </x:c>
      <x:c r="C18" s="50">
        <x:v>64546238872.028801</x:v>
      </x:c>
      <x:c r="D18" s="54">
        <x:f t="shared" si="0"/>
        <x:v>24.890647685648048</x:v>
      </x:c>
      <x:c r="E18" s="54">
        <x:f t="shared" si="7"/>
        <x:v>-0.12125785076472795</x:v>
      </x:c>
      <x:c r="F18" s="54">
        <x:f t="shared" si="18"/>
        <x:v>-0.14593045470622915</x:v>
      </x:c>
      <x:c r="G18" s="54">
        <x:f t="shared" si="19"/>
        <x:v>-0.13406885076472794</x:v>
      </x:c>
      <x:c r="H18" s="55"/>
      <x:c r="J18" s="47">
        <x:v>42338</x:v>
      </x:c>
      <x:c r="K18" s="50">
        <x:v>553245329.75</x:v>
      </x:c>
      <x:c r="L18" s="54">
        <x:f t="shared" si="1"/>
        <x:v>-0.59195374156875857</x:v>
      </x:c>
      <x:c r="M18" s="54">
        <x:f t="shared" si="8"/>
        <x:v>-8.7611960109816867E-2</x:v>
      </x:c>
      <x:c r="N18" s="54">
        <x:v>0</x:v>
      </x:c>
      <x:c r="O18" s="54"/>
      <x:c r="P18" s="55"/>
      <x:c r="R18" s="47">
        <x:v>42338</x:v>
      </x:c>
      <x:c r="S18" s="50">
        <x:v>163861258</x:v>
      </x:c>
      <x:c r="T18" s="54">
        <x:f t="shared" si="2"/>
        <x:v>-1.808735197012451</x:v>
      </x:c>
      <x:c r="U18" s="54">
        <x:f t="shared" si="9"/>
        <x:v>-6.6476913403870741E-2</x:v>
      </x:c>
      <x:c r="V18" s="54">
        <x:f t="shared" si="20"/>
        <x:v>0.4290112650053638</x:v>
      </x:c>
      <x:c r="W18" s="54">
        <x:f t="shared" si="10"/>
        <x:v>-7.8649563403870748E-2</x:v>
      </x:c>
      <x:c r="X18" s="55">
        <x:f t="shared" si="21"/>
        <x:v>0</x:v>
      </x:c>
      <x:c r="Y18" s="47">
        <x:v>42338</x:v>
      </x:c>
      <x:c r="Z18" s="50">
        <x:v>50756365641.976501</x:v>
      </x:c>
      <x:c r="AA18" s="54">
        <x:f t="shared" si="3"/>
        <x:v>24.650302878371445</x:v>
      </x:c>
      <x:c r="AB18" s="54">
        <x:f t="shared" si="11"/>
        <x:v>6.6398850462402237E-2</x:v>
      </x:c>
      <x:c r="AC18" s="54">
        <x:f t="shared" si="22"/>
        <x:v>2.4584883747437784E-2</x:v>
      </x:c>
      <x:c r="AD18" s="54">
        <x:f t="shared" si="23"/>
        <x:v>3.5053535045402234E-2</x:v>
      </x:c>
      <x:c r="AE18" s="55"/>
      <x:c r="AF18" s="47">
        <x:v>42338</x:v>
      </x:c>
      <x:c r="AG18" s="50">
        <x:v>25530878544.375198</x:v>
      </x:c>
      <x:c r="AH18" s="54">
        <x:f t="shared" si="4"/>
        <x:v>23.963154479843329</x:v>
      </x:c>
      <x:c r="AI18" s="54">
        <x:f t="shared" si="12"/>
        <x:v>-6.3410266762389256E-3</x:v>
      </x:c>
      <x:c r="AJ18" s="54">
        <x:f t="shared" si="13"/>
        <x:v>-2.9037156059714617E-3</x:v>
      </x:c>
      <x:c r="AK18" s="54">
        <x:f t="shared" si="14"/>
        <x:v>-9.415026676238919E-3</x:v>
      </x:c>
      <x:c r="AL18" s="55">
        <x:f t="shared" si="5"/>
        <x:v>4.967664289692976E-2</x:v>
      </x:c>
      <x:c r="AM18" s="47">
        <x:v>42338</x:v>
      </x:c>
      <x:c r="AN18" s="50">
        <x:v>195558788046.66</x:v>
      </x:c>
      <x:c r="AO18" s="54">
        <x:f t="shared" si="6"/>
        <x:v>25.999126877289832</x:v>
      </x:c>
      <x:c r="AP18" s="54">
        <x:f t="shared" si="15"/>
        <x:v>6.6069323847450789E-3</x:v>
      </x:c>
      <x:c r="AQ18" s="54">
        <x:f t="shared" si="16"/>
        <x:v>6.1878478917450795E-3</x:v>
      </x:c>
      <x:c r="AR18" s="55">
        <x:f t="shared" si="17"/>
        <x:v>6.1878478917450795E-3</x:v>
      </x:c>
    </x:row>
    <x:row r="19">
      <x:c r="B19" s="47">
        <x:v>42369</x:v>
      </x:c>
      <x:c r="C19" s="50">
        <x:v>73410573320.669907</x:v>
      </x:c>
      <x:c r="D19" s="54">
        <x:f t="shared" si="0"/>
        <x:v>25.019333812882902</x:v>
      </x:c>
      <x:c r="E19" s="54">
        <x:f t="shared" si="7"/>
        <x:v>0.12868612723485384</x:v>
      </x:c>
      <x:c r="F19" s="54">
        <x:f t="shared" si="18"/>
        <x:v>5.0846726016718635E-2</x:v>
      </x:c>
      <x:c r="G19" s="54">
        <x:f t="shared" si="19"/>
        <x:v>0.11587512723485384</x:v>
      </x:c>
      <x:c r="H19" s="55"/>
      <x:c r="J19" s="47">
        <x:v>42369</x:v>
      </x:c>
      <x:c r="K19" s="50">
        <x:v>312905785.5</x:v>
      </x:c>
      <x:c r="L19" s="54">
        <x:f t="shared" si="1"/>
        <x:v>-1.1618531385453514</x:v>
      </x:c>
      <x:c r="M19" s="54">
        <x:f t="shared" si="8"/>
        <x:v>-0.56989939697659286</x:v>
      </x:c>
      <x:c r="N19" s="54">
        <x:v>0</x:v>
      </x:c>
      <x:c r="O19" s="54"/>
      <x:c r="P19" s="55"/>
      <x:c r="R19" s="47">
        <x:v>42369</x:v>
      </x:c>
      <x:c r="S19" s="50">
        <x:v>145431596</x:v>
      </x:c>
      <x:c r="T19" s="54">
        <x:f t="shared" si="2"/>
        <x:v>-1.9280494335008143</x:v>
      </x:c>
      <x:c r="U19" s="54">
        <x:f t="shared" si="9"/>
        <x:v>-0.11931423648836326</x:v>
      </x:c>
      <x:c r="V19" s="54">
        <x:f t="shared" si="20"/>
        <x:v>0.31564123201158734</x:v>
      </x:c>
      <x:c r="W19" s="54">
        <x:f t="shared" si="10"/>
        <x:v>-0.13148688648836326</x:v>
      </x:c>
      <x:c r="X19" s="55">
        <x:f t="shared" si="21"/>
        <x:v>0</x:v>
      </x:c>
      <x:c r="Y19" s="47">
        <x:v>42369</x:v>
      </x:c>
      <x:c r="Z19" s="50">
        <x:v>49036404219</x:v>
      </x:c>
      <x:c r="AA19" s="54">
        <x:f t="shared" si="3"/>
        <x:v>24.615828802456221</x:v>
      </x:c>
      <x:c r="AB19" s="54">
        <x:f t="shared" si="11"/>
        <x:v>-3.4474075915223779E-2</x:v>
      </x:c>
      <x:c r="AC19" s="54">
        <x:f t="shared" si="22"/>
        <x:v>-4.3195055408984592E-2</x:v>
      </x:c>
      <x:c r="AD19" s="54">
        <x:f t="shared" si="23"/>
        <x:v>-6.5819391332223767E-2</x:v>
      </x:c>
      <x:c r="AE19" s="55"/>
      <x:c r="AF19" s="47">
        <x:v>42369</x:v>
      </x:c>
      <x:c r="AG19" s="50">
        <x:v>23345806054.076698</x:v>
      </x:c>
      <x:c r="AH19" s="54">
        <x:f t="shared" si="4"/>
        <x:v>23.873683192683998</x:v>
      </x:c>
      <x:c r="AI19" s="54">
        <x:f t="shared" si="12"/>
        <x:v>-8.9471287159330615E-2</x:v>
      </x:c>
      <x:c r="AJ19" s="54">
        <x:f t="shared" si="13"/>
        <x:v>-8.7071417878517923E-2</x:v>
      </x:c>
      <x:c r="AK19" s="54">
        <x:f t="shared" si="14"/>
        <x:v>-9.2545287159330608E-2</x:v>
      </x:c>
      <x:c r="AL19" s="55">
        <x:f t="shared" si="5"/>
        <x:v>-4.2868644262400855E-2</x:v>
      </x:c>
      <x:c r="AM19" s="47">
        <x:v>42369</x:v>
      </x:c>
      <x:c r="AN19" s="50">
        <x:v>205058301680.84998</x:v>
      </x:c>
      <x:c r="AO19" s="54">
        <x:f t="shared" si="6"/>
        <x:v>26.04656017409442</x:v>
      </x:c>
      <x:c r="AP19" s="54">
        <x:f t="shared" si="15"/>
        <x:v>4.7433296804587854E-2</x:v>
      </x:c>
      <x:c r="AQ19" s="54">
        <x:f t="shared" si="16"/>
        <x:v>4.7014212311587852E-2</x:v>
      </x:c>
      <x:c r="AR19" s="55">
        <x:f t="shared" si="17"/>
        <x:v>4.7014212311587852E-2</x:v>
      </x:c>
    </x:row>
    <x:row r="20">
      <x:c r="B20" s="47">
        <x:v>42400</x:v>
      </x:c>
      <x:c r="C20" s="50">
        <x:v>66719498115.5131</x:v>
      </x:c>
      <x:c r="D20" s="54">
        <x:f t="shared" si="0"/>
        <x:v>24.923763072719105</x:v>
      </x:c>
      <x:c r="E20" s="54">
        <x:f t="shared" si="7"/>
        <x:v>-9.5570740163797296E-2</x:v>
      </x:c>
      <x:c r="F20" s="54">
        <x:f t="shared" si="18"/>
        <x:v>-0.11923220348346951</x:v>
      </x:c>
      <x:c r="G20" s="54">
        <x:f t="shared" si="19"/>
        <x:v>-0.1083817401637973</x:v>
      </x:c>
      <x:c r="H20" s="55"/>
      <x:c r="J20" s="47">
        <x:v>42400</x:v>
      </x:c>
      <x:c r="K20" s="50">
        <x:v>377856145.25</x:v>
      </x:c>
      <x:c r="L20" s="54">
        <x:f t="shared" si="1"/>
        <x:v>-0.97324172391866814</x:v>
      </x:c>
      <x:c r="M20" s="54">
        <x:f t="shared" si="8"/>
        <x:v>0.18861141462668329</x:v>
      </x:c>
      <x:c r="N20" s="54">
        <x:v>0</x:v>
      </x:c>
      <x:c r="O20" s="54"/>
      <x:c r="P20" s="55"/>
      <x:c r="R20" s="47">
        <x:v>42400</x:v>
      </x:c>
      <x:c r="S20" s="50">
        <x:v>115596987</x:v>
      </x:c>
      <x:c r="T20" s="54">
        <x:f t="shared" si="2"/>
        <x:v>-2.1576453870973733</x:v>
      </x:c>
      <x:c r="U20" s="54">
        <x:f t="shared" si="9"/>
        <x:v>-0.22959595359655904</x:v>
      </x:c>
      <x:c r="V20" s="54">
        <x:f t="shared" si="20"/>
        <x:v>0.10638915831384718</x:v>
      </x:c>
      <x:c r="W20" s="54">
        <x:f t="shared" si="10"/>
        <x:v>-0.24176860359655905</x:v>
      </x:c>
      <x:c r="X20" s="55">
        <x:f t="shared" si="21"/>
        <x:v>0</x:v>
      </x:c>
      <x:c r="Y20" s="47">
        <x:v>42400</x:v>
      </x:c>
      <x:c r="Z20" s="50">
        <x:v>51313037007.703102</x:v>
      </x:c>
      <x:c r="AA20" s="54">
        <x:f t="shared" si="3"/>
        <x:v>24.661210689540653</x:v>
      </x:c>
      <x:c r="AB20" s="54">
        <x:f t="shared" si="11"/>
        <x:v>4.5381887084431582E-2</x:v>
      </x:c>
      <x:c r="AC20" s="54">
        <x:f t="shared" si="22"/>
        <x:v>8.6112432802954234E-3</x:v>
      </x:c>
      <x:c r="AD20" s="54">
        <x:f t="shared" si="23"/>
        <x:v>1.4036571667431583E-2</x:v>
      </x:c>
      <x:c r="AE20" s="55"/>
      <x:c r="AF20" s="47">
        <x:v>42400</x:v>
      </x:c>
      <x:c r="AG20" s="50">
        <x:v>23714649805.277901</x:v>
      </x:c>
      <x:c r="AH20" s="54">
        <x:f t="shared" si="4"/>
        <x:v>23.88935882936439</x:v>
      </x:c>
      <x:c r="AI20" s="54">
        <x:f t="shared" si="12"/>
        <x:v>1.5675636680391847E-2</x:v>
      </x:c>
      <x:c r="AJ20" s="54" t="n">
        <x:f>AL20-$AI$6*AL19-$AJ$6*AL8-$AL$6*AJ8</x:f>
        <x:v>0.012273418342057434</x:v>
      </x:c>
      <x:c r="AK20" s="54">
        <x:f t="shared" si="14"/>
        <x:v>1.2601636680391846E-2</x:v>
      </x:c>
      <x:c r="AL20" s="55">
        <x:f t="shared" si="5"/>
        <x:v>-3.0267007582009009E-2</x:v>
      </x:c>
      <x:c r="AM20" s="47">
        <x:v>42400</x:v>
      </x:c>
      <x:c r="AN20" s="50">
        <x:v>202201160954.34998</x:v>
      </x:c>
      <x:c r="AO20" s="54">
        <x:f t="shared" si="6"/>
        <x:v>26.032528885130294</x:v>
      </x:c>
      <x:c r="AP20" s="54">
        <x:f t="shared" si="15"/>
        <x:v>-1.4031288964126531E-2</x:v>
      </x:c>
      <x:c r="AQ20" s="54" t="n">
        <x:f t="shared" ref="AQ20:AQ51" si="24">AP20-$AO$6-$AP$6*AP8-$AQ$6*AQ8</x:f>
        <x:v>-0.014450373457126532</x:v>
      </x:c>
      <x:c r="AR20" s="55" t="n">
        <x:f t="shared" ref="AR20:AR51" si="25">$AP$6*AP8+AQ20+$AQ$6*AQ8</x:f>
        <x:v>-0.014450373457126532</x:v>
      </x:c>
    </x:row>
    <x:row r="21">
      <x:c r="B21" s="47">
        <x:v>42429</x:v>
      </x:c>
      <x:c r="C21" s="50">
        <x:v>82736646347.80719</x:v>
      </x:c>
      <x:c r="D21" s="54">
        <x:f t="shared" si="0"/>
        <x:v>25.138928464741092</x:v>
      </x:c>
      <x:c r="E21" s="54">
        <x:f t="shared" si="7"/>
        <x:v>0.21516539202198715</x:v>
      </x:c>
      <x:c r="F21" s="54">
        <x:f t="shared" si="18"/>
        <x:v>0.16763208750210787</x:v>
      </x:c>
      <x:c r="G21" s="54">
        <x:f t="shared" si="19"/>
        <x:v>0.20235439202198716</x:v>
      </x:c>
      <x:c r="H21" s="55"/>
      <x:c r="J21" s="47">
        <x:v>42429</x:v>
      </x:c>
      <x:c r="K21" s="50">
        <x:v>735961191.25</x:v>
      </x:c>
      <x:c r="L21" s="54">
        <x:f t="shared" si="1"/>
        <x:v>-0.30657789092338944</x:v>
      </x:c>
      <x:c r="M21" s="54">
        <x:f t="shared" si="8"/>
        <x:v>0.66666383299527876</x:v>
      </x:c>
      <x:c r="N21" s="54">
        <x:v>0</x:v>
      </x:c>
      <x:c r="O21" s="54"/>
      <x:c r="P21" s="55"/>
      <x:c r="R21" s="47">
        <x:v>42429</x:v>
      </x:c>
      <x:c r="S21" s="50">
        <x:v>149337047</x:v>
      </x:c>
      <x:c r="T21" s="54">
        <x:f t="shared" si="2"/>
        <x:v>-1.9015494672409012</x:v>
      </x:c>
      <x:c r="U21" s="54">
        <x:f t="shared" si="9"/>
        <x:v>0.25609591985647207</x:v>
      </x:c>
      <x:c r="V21" s="54">
        <x:f t="shared" si="20"/>
        <x:v>0.41288386901005913</x:v>
      </x:c>
      <x:c r="W21" s="54">
        <x:f t="shared" si="10"/>
        <x:v>0.24392326985647206</x:v>
      </x:c>
      <x:c r="X21" s="55">
        <x:f t="shared" si="21"/>
        <x:v>0</x:v>
      </x:c>
      <x:c r="Y21" s="47">
        <x:v>42429</x:v>
      </x:c>
      <x:c r="Z21" s="50">
        <x:v>53846438438.944901</x:v>
      </x:c>
      <x:c r="AA21" s="54">
        <x:f t="shared" si="3"/>
        <x:v>24.709402099809004</x:v>
      </x:c>
      <x:c r="AB21" s="54">
        <x:f t="shared" si="11"/>
        <x:v>4.8191410268351831E-2</x:v>
      </x:c>
      <x:c r="AC21" s="54">
        <x:f t="shared" si="22"/>
        <x:v>5.302278713137324E-2</x:v>
      </x:c>
      <x:c r="AD21" s="54">
        <x:f t="shared" si="23"/>
        <x:v>1.6846094851351835E-2</x:v>
      </x:c>
      <x:c r="AE21" s="55"/>
      <x:c r="AF21" s="47">
        <x:v>42429</x:v>
      </x:c>
      <x:c r="AG21" s="50">
        <x:v>24728758286.7038</x:v>
      </x:c>
      <x:c r="AH21" s="54">
        <x:f t="shared" si="4"/>
        <x:v>23.931232706410551</x:v>
      </x:c>
      <x:c r="AI21" s="54">
        <x:f t="shared" si="12"/>
        <x:v>4.1873877046160857E-2</x:v>
      </x:c>
      <x:c r="AJ21" s="54" t="n">
        <x:f t="shared" ref="AJ21:AJ52" si="26">AL21-$AI$6*AL20-$AJ$6*AL9-$AK$6*AL8-$AL$6*AJ9</x:f>
        <x:v>0.029608913485126145</x:v>
      </x:c>
      <x:c r="AK21" s="54">
        <x:f t="shared" si="14"/>
        <x:v>3.8799877046160856E-2</x:v>
      </x:c>
      <x:c r="AL21" s="55">
        <x:f t="shared" si="5"/>
        <x:v>8.5328694641518474E-3</x:v>
      </x:c>
      <x:c r="AM21" s="47">
        <x:v>42429</x:v>
      </x:c>
      <x:c r="AN21" s="50">
        <x:v>202544492725.875</x:v>
      </x:c>
      <x:c r="AO21" s="54">
        <x:f t="shared" si="6"/>
        <x:v>26.03422541652354</x:v>
      </x:c>
      <x:c r="AP21" s="54">
        <x:f t="shared" si="15"/>
        <x:v>1.6965313932466586E-3</x:v>
      </x:c>
      <x:c r="AQ21" s="54">
        <x:f t="shared" si="24"/>
        <x:v>2.9844977863761222E-3</x:v>
      </x:c>
      <x:c r="AR21" s="55">
        <x:f t="shared" si="25"/>
        <x:v>1.2774469002466591E-3</x:v>
      </x:c>
    </x:row>
    <x:row r="22">
      <x:c r="B22" s="47">
        <x:v>42460</x:v>
      </x:c>
      <x:c r="C22" s="50">
        <x:v>80308074207.356995</x:v>
      </x:c>
      <x:c r="D22" s="54">
        <x:f t="shared" si="0"/>
        <x:v>25.109136003371745</x:v>
      </x:c>
      <x:c r="E22" s="54">
        <x:f t="shared" si="7"/>
        <x:v>-2.9792461369346768E-2</x:v>
      </x:c>
      <x:c r="F22" s="54">
        <x:f t="shared" si="18"/>
        <x:v>-3.6460802342206389E-3</x:v>
      </x:c>
      <x:c r="G22" s="54">
        <x:f t="shared" si="19"/>
        <x:v>-4.2603461369346771E-2</x:v>
      </x:c>
      <x:c r="H22" s="55"/>
      <x:c r="J22" s="47">
        <x:v>42460</x:v>
      </x:c>
      <x:c r="K22" s="50">
        <x:v>522734801.25</x:v>
      </x:c>
      <x:c r="L22" s="54">
        <x:f t="shared" si="1"/>
        <x:v>-0.64868101570152048</x:v>
      </x:c>
      <x:c r="M22" s="54">
        <x:f t="shared" si="8"/>
        <x:v>-0.34210312477813104</x:v>
      </x:c>
      <x:c r="N22" s="54" t="n">
        <x:f t="shared" ref="N22:N53" si="27">M22-$M$6*M21-$N$6*M10-$O$6*M9-$P$6*N21</x:f>
        <x:v>-0.6712139812046745</x:v>
      </x:c>
      <x:c r="O22" s="54" t="n">
        <x:f t="shared" ref="O22:O53" si="28">$M$6*M21+$N$6*M10+$O$6*M9+N22+$P$6*N21</x:f>
        <x:v>-0.342103124778131</x:v>
      </x:c>
      <x:c r="P22" s="55" t="n">
        <x:f t="shared" ref="P22:P53" si="29">M22-($L$6+O22)</x:f>
        <x:v>-5.551115123125783e-17</x:v>
      </x:c>
      <x:c r="R22" s="47">
        <x:v>42460</x:v>
      </x:c>
      <x:c r="S22" s="50">
        <x:v>102018657</x:v>
      </x:c>
      <x:c r="T22" s="54">
        <x:f t="shared" si="2"/>
        <x:v>-2.2825995706594773</x:v>
      </x:c>
      <x:c r="U22" s="54">
        <x:f t="shared" si="9"/>
        <x:v>-0.38105010341857604</x:v>
      </x:c>
      <x:c r="V22" s="54">
        <x:f t="shared" si="20"/>
        <x:v>-5.0132321303121452E-2</x:v>
      </x:c>
      <x:c r="W22" s="54">
        <x:f t="shared" si="10"/>
        <x:v>-0.39322275341857604</x:v>
      </x:c>
      <x:c r="X22" s="55">
        <x:f t="shared" si="21"/>
        <x:v>0</x:v>
      </x:c>
      <x:c r="Y22" s="47">
        <x:v>42460</x:v>
      </x:c>
      <x:c r="Z22" s="50">
        <x:v>53213918425.691002</x:v>
      </x:c>
      <x:c r="AA22" s="54">
        <x:f t="shared" si="3"/>
        <x:v>24.697585823619342</x:v>
      </x:c>
      <x:c r="AB22" s="54">
        <x:f t="shared" si="11"/>
        <x:v>-1.1816276189662744E-2</x:v>
      </x:c>
      <x:c r="AC22" s="54">
        <x:f t="shared" si="22"/>
        <x:v>-1.0724194775217815E-2</x:v>
      </x:c>
      <x:c r="AD22" s="54">
        <x:f t="shared" si="23"/>
        <x:v>-4.316159160666274E-2</x:v>
      </x:c>
      <x:c r="AE22" s="55"/>
      <x:c r="AF22" s="47">
        <x:v>42460</x:v>
      </x:c>
      <x:c r="AG22" s="50">
        <x:v>26798612023.4664</x:v>
      </x:c>
      <x:c r="AH22" s="54">
        <x:f t="shared" si="4"/>
        <x:v>24.0116159329529</x:v>
      </x:c>
      <x:c r="AI22" s="54">
        <x:f t="shared" si="12"/>
        <x:v>8.0383226542348751E-2</x:v>
      </x:c>
      <x:c r="AJ22" s="54">
        <x:f t="shared" si="26"/>
        <x:v>6.0767793219391561E-2</x:v>
      </x:c>
      <x:c r="AK22" s="54">
        <x:f t="shared" si="14"/>
        <x:v>7.7309226542348758E-2</x:v>
      </x:c>
      <x:c r="AL22" s="55">
        <x:f t="shared" si="5"/>
        <x:v>8.5842096006500598E-2</x:v>
      </x:c>
      <x:c r="AM22" s="47">
        <x:v>42460</x:v>
      </x:c>
      <x:c r="AN22" s="50">
        <x:v>202303695893.94998</x:v>
      </x:c>
      <x:c r="AO22" s="54">
        <x:f t="shared" si="6"/>
        <x:v>26.033035850325199</x:v>
      </x:c>
      <x:c r="AP22" s="54">
        <x:f t="shared" si="15"/>
        <x:v>-1.1895661983416517E-3</x:v>
      </x:c>
      <x:c r="AQ22" s="54">
        <x:f t="shared" si="24"/>
        <x:v>-3.4865218706530308E-3</x:v>
      </x:c>
      <x:c r="AR22" s="55">
        <x:f t="shared" si="25"/>
        <x:v>-1.6086506913416511E-3</x:v>
      </x:c>
    </x:row>
    <x:row r="23">
      <x:c r="B23" s="47">
        <x:v>42490</x:v>
      </x:c>
      <x:c r="C23" s="50">
        <x:v>89687486517.050598</x:v>
      </x:c>
      <x:c r="D23" s="54">
        <x:f t="shared" si="0"/>
        <x:v>25.219597092567803</x:v>
      </x:c>
      <x:c r="E23" s="54">
        <x:f t="shared" si="7"/>
        <x:v>0.11046108919605757</x:v>
      </x:c>
      <x:c r="F23" s="54">
        <x:f t="shared" si="18"/>
        <x:v>0.13088439973253993</x:v>
      </x:c>
      <x:c r="G23" s="54">
        <x:f t="shared" si="19"/>
        <x:v>9.7650089196057582E-2</x:v>
      </x:c>
      <x:c r="H23" s="55"/>
      <x:c r="J23" s="47">
        <x:v>42490</x:v>
      </x:c>
      <x:c r="K23" s="50">
        <x:v>296377964.25</x:v>
      </x:c>
      <x:c r="L23" s="54">
        <x:f t="shared" si="1"/>
        <x:v>-1.2161197329595321</x:v>
      </x:c>
      <x:c r="M23" s="54">
        <x:f t="shared" si="8"/>
        <x:v>-0.56743871725801165</x:v>
      </x:c>
      <x:c r="N23" s="54">
        <x:f t="shared" si="27"/>
        <x:v>-1.2018990606748501</x:v>
      </x:c>
      <x:c r="O23" s="54">
        <x:f t="shared" si="28"/>
        <x:v>-0.56743871725801176</x:v>
      </x:c>
      <x:c r="P23" s="55">
        <x:f t="shared" si="29"/>
        <x:v>0</x:v>
      </x:c>
      <x:c r="R23" s="47">
        <x:v>42490</x:v>
      </x:c>
      <x:c r="S23" s="50">
        <x:v>161629251</x:v>
      </x:c>
      <x:c r="T23" s="54">
        <x:f t="shared" si="2"/>
        <x:v>-1.8224501406118672</x:v>
      </x:c>
      <x:c r="U23" s="54">
        <x:f t="shared" si="9"/>
        <x:v>0.46014943004761011</x:v>
      </x:c>
      <x:c r="V23" s="54">
        <x:f t="shared" si="20"/>
        <x:v>0.50169147185399798</x:v>
      </x:c>
      <x:c r="W23" s="54">
        <x:f t="shared" si="10"/>
        <x:v>0.4479767800476101</x:v>
      </x:c>
      <x:c r="X23" s="55">
        <x:f t="shared" si="21"/>
        <x:v>0</x:v>
      </x:c>
      <x:c r="Y23" s="47">
        <x:v>42490</x:v>
      </x:c>
      <x:c r="Z23" s="50">
        <x:v>53921553571.988602</x:v>
      </x:c>
      <x:c r="AA23" s="54">
        <x:f t="shared" si="3"/>
        <x:v>24.71079611567227</x:v>
      </x:c>
      <x:c r="AB23" s="54">
        <x:f t="shared" si="11"/>
        <x:v>1.3210292052928452E-2</x:v>
      </x:c>
      <x:c r="AC23" s="54">
        <x:f t="shared" si="22"/>
        <x:v>-7.1318730810010266E-3</x:v>
      </x:c>
      <x:c r="AD23" s="54">
        <x:f t="shared" si="23"/>
        <x:v>-1.8135023364071547E-2</x:v>
      </x:c>
      <x:c r="AE23" s="55"/>
      <x:c r="AF23" s="47">
        <x:v>42490</x:v>
      </x:c>
      <x:c r="AG23" s="50">
        <x:v>25567746542.9221</x:v>
      </x:c>
      <x:c r="AH23" s="54">
        <x:f t="shared" si="4"/>
        <x:v>23.964597493422712</x:v>
      </x:c>
      <x:c r="AI23" s="54">
        <x:f t="shared" si="12"/>
        <x:v>-4.7018439530187806E-2</x:v>
      </x:c>
      <x:c r="AJ23" s="54">
        <x:f t="shared" si="26"/>
        <x:v>-5.6749872799879322E-2</x:v>
      </x:c>
      <x:c r="AK23" s="54">
        <x:f t="shared" si="14"/>
        <x:v>-5.0092439530187806E-2</x:v>
      </x:c>
      <x:c r="AL23" s="55">
        <x:f t="shared" si="5"/>
        <x:v>3.5749656476312792E-2</x:v>
      </x:c>
      <x:c r="AM23" s="47">
        <x:v>42490</x:v>
      </x:c>
      <x:c r="AN23" s="50">
        <x:v>203865265945.78</x:v>
      </x:c>
      <x:c r="AO23" s="54">
        <x:f t="shared" si="6"/>
        <x:v>26.040725151540048</x:v>
      </x:c>
      <x:c r="AP23" s="54">
        <x:f t="shared" si="15"/>
        <x:v>7.6893012148495643E-3</x:v>
      </x:c>
      <x:c r="AQ23" s="54">
        <x:f t="shared" si="24"/>
        <x:v>7.0077063498553581E-3</x:v>
      </x:c>
      <x:c r="AR23" s="55">
        <x:f t="shared" si="25"/>
        <x:v>7.2702167218495648E-3</x:v>
      </x:c>
    </x:row>
    <x:row r="24">
      <x:c r="B24" s="47">
        <x:v>42521</x:v>
      </x:c>
      <x:c r="C24" s="50">
        <x:v>78103867976.787201</x:v>
      </x:c>
      <x:c r="D24" s="54">
        <x:f t="shared" si="0"/>
        <x:v>25.081305418516862</x:v>
      </x:c>
      <x:c r="E24" s="54">
        <x:f t="shared" si="7"/>
        <x:v>-0.13829167405094012</x:v>
      </x:c>
      <x:c r="F24" s="54">
        <x:f t="shared" si="18"/>
        <x:v>-0.10221364912691083</x:v>
      </x:c>
      <x:c r="G24" s="54">
        <x:f t="shared" si="19"/>
        <x:v>-0.15110267405094011</x:v>
      </x:c>
      <x:c r="H24" s="55"/>
      <x:c r="J24" s="47">
        <x:v>42521</x:v>
      </x:c>
      <x:c r="K24" s="50">
        <x:v>394587170.75</x:v>
      </x:c>
      <x:c r="L24" s="54">
        <x:f t="shared" si="1"/>
        <x:v>-0.92991519795965616</x:v>
      </x:c>
      <x:c r="M24" s="54">
        <x:f t="shared" si="8"/>
        <x:v>0.28620453499987597</x:v>
      </x:c>
      <x:c r="N24" s="54">
        <x:f t="shared" si="27"/>
        <x:v>-0.29862945652720829</x:v>
      </x:c>
      <x:c r="O24" s="54">
        <x:f t="shared" si="28"/>
        <x:v>0.28620453499987586</x:v>
      </x:c>
      <x:c r="P24" s="55">
        <x:f t="shared" si="29"/>
        <x:v>0</x:v>
      </x:c>
      <x:c r="R24" s="47">
        <x:v>42521</x:v>
      </x:c>
      <x:c r="S24" s="50">
        <x:v>185047816</x:v>
      </x:c>
      <x:c r="T24" s="54">
        <x:f t="shared" si="2"/>
        <x:v>-1.6871410224352361</x:v>
      </x:c>
      <x:c r="U24" s="54">
        <x:f t="shared" si="9"/>
        <x:v>0.13530911817663105</x:v>
      </x:c>
      <x:c r="V24" s="54">
        <x:f t="shared" si="20"/>
        <x:v>0.49942410608389892</x:v>
      </x:c>
      <x:c r="W24" s="54">
        <x:f t="shared" si="10"/>
        <x:v>0.12313646817663104</x:v>
      </x:c>
      <x:c r="X24" s="55">
        <x:f t="shared" si="21"/>
        <x:v>0</x:v>
      </x:c>
      <x:c r="Y24" s="47">
        <x:v>42521</x:v>
      </x:c>
      <x:c r="Z24" s="50">
        <x:v>53421495535.187599</x:v>
      </x:c>
      <x:c r="AA24" s="54">
        <x:f t="shared" si="3"/>
        <x:v>24.701479040027959</x:v>
      </x:c>
      <x:c r="AB24" s="54">
        <x:f t="shared" si="11"/>
        <x:v>-9.317075644311501E-3</x:v>
      </x:c>
      <x:c r="AC24" s="54">
        <x:f t="shared" si="22"/>
        <x:v>-4.3336576802293705E-3</x:v>
      </x:c>
      <x:c r="AD24" s="54">
        <x:f t="shared" si="23"/>
        <x:v>-4.0662391061311497E-2</x:v>
      </x:c>
      <x:c r="AE24" s="55"/>
      <x:c r="AF24" s="47">
        <x:v>42521</x:v>
      </x:c>
      <x:c r="AG24" s="50">
        <x:v>25355775008.925301</x:v>
      </x:c>
      <x:c r="AH24" s="54">
        <x:f t="shared" si="4"/>
        <x:v>23.956272352041587</x:v>
      </x:c>
      <x:c r="AI24" s="54">
        <x:f t="shared" si="12"/>
        <x:v>-8.3251413811247232E-3</x:v>
      </x:c>
      <x:c r="AJ24" s="54">
        <x:f t="shared" si="26"/>
        <x:v>-1.035447015992689E-2</x:v>
      </x:c>
      <x:c r="AK24" s="54">
        <x:f t="shared" si="14"/>
        <x:v>-1.1399141381124724E-2</x:v>
      </x:c>
      <x:c r="AL24" s="55">
        <x:f t="shared" si="5"/>
        <x:v>2.4350515095188069E-2</x:v>
      </x:c>
      <x:c r="AM24" s="47">
        <x:v>42521</x:v>
      </x:c>
      <x:c r="AN24" s="50">
        <x:v>205809088790.19998</x:v>
      </x:c>
      <x:c r="AO24" s="54">
        <x:f t="shared" si="6"/>
        <x:v>26.050214822588881</x:v>
      </x:c>
      <x:c r="AP24" s="54">
        <x:f t="shared" si="15"/>
        <x:v>9.489671048832804E-3</x:v>
      </x:c>
      <x:c r="AQ24" s="54">
        <x:f t="shared" si="24"/>
        <x:v>7.8417352675125528E-3</x:v>
      </x:c>
      <x:c r="AR24" s="55">
        <x:f t="shared" si="25"/>
        <x:v>9.0705865558328019E-3</x:v>
      </x:c>
    </x:row>
    <x:row r="25">
      <x:c r="B25" s="47">
        <x:v>42551</x:v>
      </x:c>
      <x:c r="C25" s="50">
        <x:v>69105702241.2117</x:v>
      </x:c>
      <x:c r="D25" s="54">
        <x:f t="shared" si="0"/>
        <x:v>24.958903085895805</x:v>
      </x:c>
      <x:c r="E25" s="54">
        <x:f t="shared" si="7"/>
        <x:v>-0.12240233262105704</x:v>
      </x:c>
      <x:c r="F25" s="54">
        <x:f t="shared" si="18"/>
        <x:v>-0.14695248293999327</x:v>
      </x:c>
      <x:c r="G25" s="54">
        <x:f t="shared" si="19"/>
        <x:v>-0.13521333262105703</x:v>
      </x:c>
      <x:c r="H25" s="55"/>
      <x:c r="J25" s="47">
        <x:v>42551</x:v>
      </x:c>
      <x:c r="K25" s="50">
        <x:v>321319140.5</x:v>
      </x:c>
      <x:c r="L25" s="54">
        <x:f t="shared" si="1"/>
        <x:v>-1.1353204425836259</x:v>
      </x:c>
      <x:c r="M25" s="54">
        <x:f t="shared" si="8"/>
        <x:v>-0.2054052446239697</x:v>
      </x:c>
      <x:c r="N25" s="54">
        <x:f t="shared" si="27"/>
        <x:v>-0.84402734538170088</x:v>
      </x:c>
      <x:c r="O25" s="54">
        <x:f t="shared" si="28"/>
        <x:v>-0.2054052446239697</x:v>
      </x:c>
      <x:c r="P25" s="55">
        <x:f t="shared" si="29"/>
        <x:v>0</x:v>
      </x:c>
      <x:c r="R25" s="47">
        <x:v>42551</x:v>
      </x:c>
      <x:c r="S25" s="50">
        <x:v>163503682.25</x:v>
      </x:c>
      <x:c r="T25" s="54">
        <x:f t="shared" si="2"/>
        <x:v>-1.8109197674917041</x:v>
      </x:c>
      <x:c r="U25" s="54">
        <x:f t="shared" si="9"/>
        <x:v>-0.12377874505646802</x:v>
      </x:c>
      <x:c r="V25" s="54">
        <x:f t="shared" si="20"/>
        <x:v>0.32659712001443086</x:v>
      </x:c>
      <x:c r="W25" s="54">
        <x:f t="shared" si="10"/>
        <x:v>-0.13595139505646803</x:v>
      </x:c>
      <x:c r="X25" s="55">
        <x:f t="shared" si="21"/>
        <x:v>0</x:v>
      </x:c>
      <x:c r="Y25" s="47">
        <x:v>42551</x:v>
      </x:c>
      <x:c r="Z25" s="50">
        <x:v>54426349507.741501</x:v>
      </x:c>
      <x:c r="AA25" s="54">
        <x:f t="shared" si="3"/>
        <x:v>24.720114239492116</x:v>
      </x:c>
      <x:c r="AB25" s="54">
        <x:f t="shared" si="11"/>
        <x:v>1.8635199464156926E-2</x:v>
      </x:c>
      <x:c r="AC25" s="54">
        <x:f t="shared" si="22"/>
        <x:v>-9.3212247054524321E-3</x:v>
      </x:c>
      <x:c r="AD25" s="54">
        <x:f t="shared" si="23"/>
        <x:v>-1.2710115952843069E-2</x:v>
      </x:c>
      <x:c r="AE25" s="55"/>
      <x:c r="AF25" s="47">
        <x:v>42551</x:v>
      </x:c>
      <x:c r="AG25" s="50">
        <x:v>26052822460.315598</x:v>
      </x:c>
      <x:c r="AH25" s="54">
        <x:f t="shared" si="4"/>
        <x:v>23.983391947081408</x:v>
      </x:c>
      <x:c r="AI25" s="54">
        <x:f t="shared" si="12"/>
        <x:v>2.7119595039820865E-2</x:v>
      </x:c>
      <x:c r="AJ25" s="54">
        <x:f t="shared" si="26"/>
        <x:v>3.4162850746635817E-2</x:v>
      </x:c>
      <x:c r="AK25" s="54">
        <x:f t="shared" si="14"/>
        <x:v>2.4045595039820865E-2</x:v>
      </x:c>
      <x:c r="AL25" s="55">
        <x:f t="shared" si="5"/>
        <x:v>4.8396110135008934E-2</x:v>
      </x:c>
      <x:c r="AM25" s="47">
        <x:v>42551</x:v>
      </x:c>
      <x:c r="AN25" s="50">
        <x:v>205423888172.69998</x:v>
      </x:c>
      <x:c r="AO25" s="54">
        <x:f t="shared" si="6"/>
        <x:v>26.048341428421889</x:v>
      </x:c>
      <x:c r="AP25" s="54">
        <x:f t="shared" si="15"/>
        <x:v>-1.8733941669921705E-3</x:v>
      </x:c>
      <x:c r="AQ25" s="54">
        <x:f t="shared" si="24"/>
        <x:v>-1.7862843184682118E-3</x:v>
      </x:c>
      <x:c r="AR25" s="55">
        <x:f t="shared" si="25"/>
        <x:v>-2.29247865999217E-3</x:v>
      </x:c>
    </x:row>
    <x:row r="26">
      <x:c r="B26" s="47">
        <x:v>42582</x:v>
      </x:c>
      <x:c r="C26" s="50">
        <x:v>77106895334.839996</x:v>
      </x:c>
      <x:c r="D26" s="54">
        <x:f t="shared" si="0"/>
        <x:v>25.068458547172256</x:v>
      </x:c>
      <x:c r="E26" s="54">
        <x:f t="shared" si="7"/>
        <x:v>0.10955546127645022</x:v>
      </x:c>
      <x:c r="F26" s="54">
        <x:f t="shared" si="18"/>
        <x:v>1.9900342554235652E-2</x:v>
      </x:c>
      <x:c r="G26" s="54">
        <x:f t="shared" si="19"/>
        <x:v>9.6744461276450214E-2</x:v>
      </x:c>
      <x:c r="H26" s="55"/>
      <x:c r="J26" s="47">
        <x:v>42582</x:v>
      </x:c>
      <x:c r="K26" s="50">
        <x:v>533982231.5</x:v>
      </x:c>
      <x:c r="L26" s="54">
        <x:f t="shared" si="1"/>
        <x:v>-0.62739271492011472</x:v>
      </x:c>
      <x:c r="M26" s="54">
        <x:f t="shared" si="8"/>
        <x:v>0.50792772766351113</x:v>
      </x:c>
      <x:c r="N26" s="54">
        <x:f t="shared" si="27"/>
        <x:v>-0.18105162168011812</x:v>
      </x:c>
      <x:c r="O26" s="54">
        <x:f t="shared" si="28"/>
        <x:v>0.50792772766351113</x:v>
      </x:c>
      <x:c r="P26" s="55">
        <x:f t="shared" si="29"/>
        <x:v>0</x:v>
      </x:c>
      <x:c r="R26" s="47">
        <x:v>42582</x:v>
      </x:c>
      <x:c r="S26" s="50">
        <x:v>216975837.25</x:v>
      </x:c>
      <x:c r="T26" s="54">
        <x:f t="shared" si="2"/>
        <x:v>-1.5279692807197873</x:v>
      </x:c>
      <x:c r="U26" s="54">
        <x:f t="shared" si="9"/>
        <x:v>0.28295048677191681</x:v>
      </x:c>
      <x:c r="V26" s="54">
        <x:f t="shared" si="20"/>
        <x:v>0.63110819250846939</x:v>
      </x:c>
      <x:c r="W26" s="54">
        <x:f t="shared" si="10"/>
        <x:v>0.2707778367719168</x:v>
      </x:c>
      <x:c r="X26" s="55">
        <x:f t="shared" si="21"/>
        <x:v>0</x:v>
      </x:c>
      <x:c r="Y26" s="47">
        <x:v>42582</x:v>
      </x:c>
      <x:c r="Z26" s="50">
        <x:v>54856409756.067802</x:v>
      </x:c>
      <x:c r="AA26" s="54">
        <x:f t="shared" si="3"/>
        <x:v>24.727984876567849</x:v>
      </x:c>
      <x:c r="AB26" s="54">
        <x:f t="shared" si="11"/>
        <x:v>7.8706370757331001E-3</x:v>
      </x:c>
      <x:c r="AC26" s="54">
        <x:f t="shared" si="22"/>
        <x:v>-2.0648062153913363E-2</x:v>
      </x:c>
      <x:c r="AD26" s="54">
        <x:f t="shared" si="23"/>
        <x:v>-2.3474678341266896E-2</x:v>
      </x:c>
      <x:c r="AE26" s="55"/>
      <x:c r="AF26" s="47">
        <x:v>42582</x:v>
      </x:c>
      <x:c r="AG26" s="50">
        <x:v>25722201371.616001</x:v>
      </x:c>
      <x:c r="AH26" s="54">
        <x:f t="shared" si="4"/>
        <x:v>23.970620322529431</x:v>
      </x:c>
      <x:c r="AI26" s="54">
        <x:f t="shared" si="12"/>
        <x:v>-1.2771624551977112E-2</x:v>
      </x:c>
      <x:c r="AJ26" s="54">
        <x:f t="shared" si="26"/>
        <x:v>-9.9142167615881103E-3</x:v>
      </x:c>
      <x:c r="AK26" s="54">
        <x:f t="shared" si="14"/>
        <x:v>-1.5845624551977112E-2</x:v>
      </x:c>
      <x:c r="AL26" s="55">
        <x:f t="shared" si="5"/>
        <x:v>3.2550485583031821E-2</x:v>
      </x:c>
      <x:c r="AM26" s="47">
        <x:v>42582</x:v>
      </x:c>
      <x:c r="AN26" s="50">
        <x:v>205879914171.66998</x:v>
      </x:c>
      <x:c r="AO26" s="54">
        <x:f t="shared" si="6"/>
        <x:v>26.050558894845654</x:v>
      </x:c>
      <x:c r="AP26" s="54">
        <x:f t="shared" si="15"/>
        <x:v>2.2174664237653019E-3</x:v>
      </x:c>
      <x:c r="AQ26" s="54">
        <x:f t="shared" si="24"/>
        <x:v>-2.8221798426215985E-3</x:v>
      </x:c>
      <x:c r="AR26" s="55">
        <x:f t="shared" si="25"/>
        <x:v>1.7983819307653016E-3</x:v>
      </x:c>
    </x:row>
    <x:row r="27">
      <x:c r="B27" s="47">
        <x:v>42613</x:v>
      </x:c>
      <x:c r="C27" s="50">
        <x:v>62040955650.556503</x:v>
      </x:c>
      <x:c r="D27" s="54">
        <x:f t="shared" si="0"/>
        <x:v>24.851060578916844</x:v>
      </x:c>
      <x:c r="E27" s="54">
        <x:f t="shared" si="7"/>
        <x:v>-0.21739796825541191</x:v>
      </x:c>
      <x:c r="F27" s="54">
        <x:f t="shared" si="18"/>
        <x:v>-0.25300786282558807</x:v>
      </x:c>
      <x:c r="G27" s="54">
        <x:f t="shared" si="19"/>
        <x:v>-0.23020896825541196</x:v>
      </x:c>
      <x:c r="H27" s="55"/>
      <x:c r="J27" s="47">
        <x:v>42613</x:v>
      </x:c>
      <x:c r="K27" s="50">
        <x:v>728166086.5</x:v>
      </x:c>
      <x:c r="L27" s="54">
        <x:f t="shared" si="1"/>
        <x:v>-0.31722611600890188</x:v>
      </x:c>
      <x:c r="M27" s="54">
        <x:f t="shared" si="8"/>
        <x:v>0.31016659891121284</x:v>
      </x:c>
      <x:c r="N27" s="54">
        <x:f t="shared" si="27"/>
        <x:v>-0.31932451309875054</x:v>
      </x:c>
      <x:c r="O27" s="54">
        <x:f t="shared" si="28"/>
        <x:v>0.31016659891121279</x:v>
      </x:c>
      <x:c r="P27" s="55">
        <x:f t="shared" si="29"/>
        <x:v>0</x:v>
      </x:c>
      <x:c r="R27" s="47">
        <x:v>42613</x:v>
      </x:c>
      <x:c r="S27" s="50">
        <x:v>113521964.25</x:v>
      </x:c>
      <x:c r="T27" s="54">
        <x:f t="shared" si="2"/>
        <x:v>-2.1757589431616537</x:v>
      </x:c>
      <x:c r="U27" s="54">
        <x:f t="shared" si="9"/>
        <x:v>-0.64778966244186642</x:v>
      </x:c>
      <x:c r="V27" s="54">
        <x:f t="shared" si="20"/>
        <x:v>-0.10596619166761734</x:v>
      </x:c>
      <x:c r="W27" s="54">
        <x:f t="shared" si="10"/>
        <x:v>-0.65996231244186643</x:v>
      </x:c>
      <x:c r="X27" s="55">
        <x:f t="shared" si="21"/>
        <x:v>0</x:v>
      </x:c>
      <x:c r="Y27" s="47">
        <x:v>42613</x:v>
      </x:c>
      <x:c r="Z27" s="50">
        <x:v>54935009855.314903</x:v>
      </x:c>
      <x:c r="AA27" s="54">
        <x:f t="shared" si="3"/>
        <x:v>24.729416684498801</x:v>
      </x:c>
      <x:c r="AB27" s="54">
        <x:f t="shared" si="11"/>
        <x:v>1.4318079309525444E-3</x:v>
      </x:c>
      <x:c r="AC27" s="54">
        <x:f t="shared" si="22"/>
        <x:v>-4.4475192839049634E-3</x:v>
      </x:c>
      <x:c r="AD27" s="54">
        <x:f t="shared" si="23"/>
        <x:v>-2.9913507486047455E-2</x:v>
      </x:c>
      <x:c r="AE27" s="55"/>
      <x:c r="AF27" s="47">
        <x:v>42613</x:v>
      </x:c>
      <x:c r="AG27" s="50">
        <x:v>23283433640.1152</x:v>
      </x:c>
      <x:c r="AH27" s="54">
        <x:f t="shared" si="4"/>
        <x:v>23.871007942065702</x:v>
      </x:c>
      <x:c r="AI27" s="54">
        <x:f t="shared" si="12"/>
        <x:v>-9.9612380463728556E-2</x:v>
      </x:c>
      <x:c r="AJ27" s="54">
        <x:f t="shared" si="26"/>
        <x:v>-7.9910469880282969E-2</x:v>
      </x:c>
      <x:c r="AK27" s="54">
        <x:f t="shared" si="14"/>
        <x:v>-0.10268638046372856</x:v>
      </x:c>
      <x:c r="AL27" s="55">
        <x:f t="shared" si="5"/>
        <x:v>-7.0135894880696742E-2</x:v>
      </x:c>
      <x:c r="AM27" s="47">
        <x:v>42613</x:v>
      </x:c>
      <x:c r="AN27" s="50">
        <x:v>203489588082.25998</x:v>
      </x:c>
      <x:c r="AO27" s="54">
        <x:f t="shared" si="6"/>
        <x:v>26.03888067630519</x:v>
      </x:c>
      <x:c r="AP27" s="54">
        <x:f t="shared" si="15"/>
        <x:v>-1.1678218540463803E-2</x:v>
      </x:c>
      <x:c r="AQ27" s="54">
        <x:f t="shared" si="24"/>
        <x:v>-1.1548805711522966E-2</x:v>
      </x:c>
      <x:c r="AR27" s="55">
        <x:f t="shared" si="25"/>
        <x:v>-1.2097303033463803E-2</x:v>
      </x:c>
    </x:row>
    <x:row r="28">
      <x:c r="B28" s="47">
        <x:v>42643</x:v>
      </x:c>
      <x:c r="C28" s="50">
        <x:v>69510361636.526398</x:v>
      </x:c>
      <x:c r="D28" s="54">
        <x:f t="shared" si="0"/>
        <x:v>24.964741666699947</x:v>
      </x:c>
      <x:c r="E28" s="54">
        <x:f t="shared" si="7"/>
        <x:v>0.11368108778310315</x:v>
      </x:c>
      <x:c r="F28" s="54">
        <x:f t="shared" si="18"/>
        <x:v>9.0185726025988223E-3</x:v>
      </x:c>
      <x:c r="G28" s="54">
        <x:f t="shared" si="19"/>
        <x:v>0.10087008778310315</x:v>
      </x:c>
      <x:c r="H28" s="55"/>
      <x:c r="J28" s="47">
        <x:v>42643</x:v>
      </x:c>
      <x:c r="K28" s="50">
        <x:v>1169521283</x:v>
      </x:c>
      <x:c r="L28" s="54">
        <x:f t="shared" si="1"/>
        <x:v>0.15659450525188226</x:v>
      </x:c>
      <x:c r="M28" s="54">
        <x:f t="shared" si="8"/>
        <x:v>0.47382062126078417</x:v>
      </x:c>
      <x:c r="N28" s="54">
        <x:f t="shared" si="27"/>
        <x:v>0.12198307043988998</x:v>
      </x:c>
      <x:c r="O28" s="54">
        <x:f t="shared" si="28"/>
        <x:v>0.47382062126078417</x:v>
      </x:c>
      <x:c r="P28" s="55">
        <x:f t="shared" si="29"/>
        <x:v>0</x:v>
      </x:c>
      <x:c r="R28" s="47">
        <x:v>42643</x:v>
      </x:c>
      <x:c r="S28" s="50">
        <x:v>191114615.25</x:v>
      </x:c>
      <x:c r="T28" s="54">
        <x:f t="shared" si="2"/>
        <x:v>-1.6548819510684878</x:v>
      </x:c>
      <x:c r="U28" s="54">
        <x:f t="shared" si="9"/>
        <x:v>0.52087699209316596</x:v>
      </x:c>
      <x:c r="V28" s="54">
        <x:f t="shared" si="20"/>
        <x:v>0.57927929544633683</x:v>
      </x:c>
      <x:c r="W28" s="54">
        <x:f t="shared" si="10"/>
        <x:v>0.50870434209316595</x:v>
      </x:c>
      <x:c r="X28" s="55">
        <x:f t="shared" si="21"/>
        <x:v>0</x:v>
      </x:c>
      <x:c r="Y28" s="47">
        <x:v>42643</x:v>
      </x:c>
      <x:c r="Z28" s="50">
        <x:v>56628918171.752602</x:v>
      </x:c>
      <x:c r="AA28" s="54">
        <x:f t="shared" si="3"/>
        <x:v>24.759785613441878</x:v>
      </x:c>
      <x:c r="AB28" s="54">
        <x:f t="shared" si="11"/>
        <x:v>3.0368928943076412E-2</x:v>
      </x:c>
      <x:c r="AC28" s="54">
        <x:f t="shared" si="22"/>
        <x:v>1.2773984357642092E-2</x:v>
      </x:c>
      <x:c r="AD28" s="54">
        <x:f t="shared" si="23"/>
        <x:v>-9.7638647392358623E-4</x:v>
      </x:c>
      <x:c r="AE28" s="55"/>
      <x:c r="AF28" s="47">
        <x:v>42643</x:v>
      </x:c>
      <x:c r="AG28" s="50">
        <x:v>23934488205.527199</x:v>
      </x:c>
      <x:c r="AH28" s="54">
        <x:f t="shared" si="4"/>
        <x:v>23.898586276881144</x:v>
      </x:c>
      <x:c r="AI28" s="54">
        <x:f t="shared" si="12"/>
        <x:v>2.7578334815441252E-2</x:v>
      </x:c>
      <x:c r="AJ28" s="54">
        <x:f t="shared" si="26"/>
        <x:v>7.9326790296244815E-4</x:v>
      </x:c>
      <x:c r="AK28" s="54">
        <x:f t="shared" si="14"/>
        <x:v>2.4504334815441259E-2</x:v>
      </x:c>
      <x:c r="AL28" s="55">
        <x:f t="shared" si="5"/>
        <x:v>-4.5631560065255483E-2</x:v>
      </x:c>
      <x:c r="AM28" s="47">
        <x:v>42643</x:v>
      </x:c>
      <x:c r="AN28" s="50">
        <x:v>203543707350.88498</x:v>
      </x:c>
      <x:c r="AO28" s="54">
        <x:f t="shared" si="6"/>
        <x:v>26.039146596904565</x:v>
      </x:c>
      <x:c r="AP28" s="54">
        <x:f t="shared" si="15"/>
        <x:v>2.6592059937513568E-4</x:v>
      </x:c>
      <x:c r="AQ28" s="54">
        <x:f t="shared" si="24"/>
        <x:v>-2.836860909236549E-3</x:v>
      </x:c>
      <x:c r="AR28" s="55">
        <x:f t="shared" si="25"/>
        <x:v>-1.5316389362486464E-4</x:v>
      </x:c>
    </x:row>
    <x:row r="29">
      <x:c r="B29" s="47">
        <x:v>42674</x:v>
      </x:c>
      <x:c r="C29" s="50">
        <x:v>83094109607.978516</x:v>
      </x:c>
      <x:c r="D29" s="54">
        <x:f t="shared" si="0"/>
        <x:v>25.143239653118329</x:v>
      </x:c>
      <x:c r="E29" s="54">
        <x:f t="shared" si="7"/>
        <x:v>0.17849798641838177</x:v>
      </x:c>
      <x:c r="F29" s="54">
        <x:f t="shared" si="18"/>
        <x:v>0.11685966492514434</x:v>
      </x:c>
      <x:c r="G29" s="54">
        <x:f t="shared" si="19"/>
        <x:v>0.16568698641838175</x:v>
      </x:c>
      <x:c r="H29" s="55"/>
      <x:c r="J29" s="47">
        <x:v>42674</x:v>
      </x:c>
      <x:c r="K29" s="50">
        <x:v>1613722307.0917001</x:v>
      </x:c>
      <x:c r="L29" s="54">
        <x:f t="shared" si="1"/>
        <x:v>0.47854350243763638</x:v>
      </x:c>
      <x:c r="M29" s="54">
        <x:f t="shared" si="8"/>
        <x:v>0.32194899718575409</x:v>
      </x:c>
      <x:c r="N29" s="54">
        <x:f t="shared" si="27"/>
        <x:v>0.21536622860400645</x:v>
      </x:c>
      <x:c r="O29" s="54">
        <x:f t="shared" si="28"/>
        <x:v>0.32194899718575409</x:v>
      </x:c>
      <x:c r="P29" s="55">
        <x:f t="shared" si="29"/>
        <x:v>0</x:v>
      </x:c>
      <x:c r="R29" s="47">
        <x:v>42674</x:v>
      </x:c>
      <x:c r="S29" s="50">
        <x:v>141071886.25</x:v>
      </x:c>
      <x:c r="T29" s="54">
        <x:f t="shared" si="2"/>
        <x:v>-1.9584856869636387</x:v>
      </x:c>
      <x:c r="U29" s="54">
        <x:f t="shared" si="9"/>
        <x:v>-0.30360373589515088</x:v>
      </x:c>
      <x:c r="V29" s="54">
        <x:f t="shared" si="20"/>
        <x:v>0.12154908421152355</x:v>
      </x:c>
      <x:c r="W29" s="54">
        <x:f t="shared" si="10"/>
        <x:v>-0.31577638589515089</x:v>
      </x:c>
      <x:c r="X29" s="55">
        <x:f t="shared" si="21"/>
        <x:v>0</x:v>
      </x:c>
      <x:c r="Y29" s="47">
        <x:v>42674</x:v>
      </x:c>
      <x:c r="Z29" s="50">
        <x:v>58614704937.257607</x:v>
      </x:c>
      <x:c r="AA29" s="54">
        <x:f t="shared" si="3"/>
        <x:v>24.794251439545693</x:v>
      </x:c>
      <x:c r="AB29" s="54">
        <x:f t="shared" si="11"/>
        <x:v>3.4465826103815544E-2</x:v>
      </x:c>
      <x:c r="AC29" s="54">
        <x:f t="shared" si="22"/>
        <x:v>1.2011619602122154E-2</x:v>
      </x:c>
      <x:c r="AD29" s="54">
        <x:f t="shared" si="23"/>
        <x:v>3.1205106868155488E-3</x:v>
      </x:c>
      <x:c r="AE29" s="55"/>
      <x:c r="AF29" s="47">
        <x:v>42674</x:v>
      </x:c>
      <x:c r="AG29" s="50">
        <x:v>24426368245.234001</x:v>
      </x:c>
      <x:c r="AH29" s="54">
        <x:f t="shared" si="4"/>
        <x:v>23.918929051534914</x:v>
      </x:c>
      <x:c r="AI29" s="54">
        <x:f t="shared" si="12"/>
        <x:v>2.0342774653769879E-2</x:v>
      </x:c>
      <x:c r="AJ29" s="54">
        <x:f t="shared" si="26"/>
        <x:v>9.7213294936054333E-3</x:v>
      </x:c>
      <x:c r="AK29" s="54">
        <x:f t="shared" si="14"/>
        <x:v>1.7268774653769886E-2</x:v>
      </x:c>
      <x:c r="AL29" s="55">
        <x:f t="shared" si="5"/>
        <x:v>-2.8362785411485597E-2</x:v>
      </x:c>
      <x:c r="AM29" s="47">
        <x:v>42674</x:v>
      </x:c>
      <x:c r="AN29" s="50">
        <x:v>203000087291.13498</x:v>
      </x:c>
      <x:c r="AO29" s="54">
        <x:f t="shared" si="6"/>
        <x:v>26.036472245993696</x:v>
      </x:c>
      <x:c r="AP29" s="54">
        <x:f t="shared" si="15"/>
        <x:v>-2.6743509108690944E-3</x:v>
      </x:c>
      <x:c r="AQ29" s="54">
        <x:f t="shared" si="24"/>
        <x:v>-5.4023599721937862E-3</x:v>
      </x:c>
      <x:c r="AR29" s="55">
        <x:f t="shared" si="25"/>
        <x:v>-3.0934354038690947E-3</x:v>
      </x:c>
    </x:row>
    <x:row r="30">
      <x:c r="B30" s="47">
        <x:v>42704</x:v>
      </x:c>
      <x:c r="C30" s="50">
        <x:v>61533803977.618401</x:v>
      </x:c>
      <x:c r="D30" s="54">
        <x:f t="shared" si="0"/>
        <x:v>24.842852518924818</x:v>
      </x:c>
      <x:c r="E30" s="54">
        <x:f t="shared" si="7"/>
        <x:v>-0.30038713419351026</x:v>
      </x:c>
      <x:c r="F30" s="54">
        <x:f t="shared" si="18"/>
        <x:v>-0.26701308524859174</x:v>
      </x:c>
      <x:c r="G30" s="54">
        <x:f t="shared" si="19"/>
        <x:v>-0.31319813419351028</x:v>
      </x:c>
      <x:c r="H30" s="55"/>
      <x:c r="J30" s="47">
        <x:v>42704</x:v>
      </x:c>
      <x:c r="K30" s="50">
        <x:v>963832676.78760004</x:v>
      </x:c>
      <x:c r="L30" s="54">
        <x:f t="shared" si="1"/>
        <x:v>-3.6837571234014453E-2</x:v>
      </x:c>
      <x:c r="M30" s="54">
        <x:f t="shared" si="8"/>
        <x:v>-0.51538107367165087</x:v>
      </x:c>
      <x:c r="N30" s="54">
        <x:f t="shared" si="27"/>
        <x:v>-0.5002863732062397</x:v>
      </x:c>
      <x:c r="O30" s="54">
        <x:f t="shared" si="28"/>
        <x:v>-0.51538107367165076</x:v>
      </x:c>
      <x:c r="P30" s="55">
        <x:f t="shared" si="29"/>
        <x:v>0</x:v>
      </x:c>
      <x:c r="R30" s="47">
        <x:v>42704</x:v>
      </x:c>
      <x:c r="S30" s="50">
        <x:v>167202328.25</x:v>
      </x:c>
      <x:c r="T30" s="54">
        <x:f t="shared" si="2"/>
        <x:v>-1.7885506534882956</x:v>
      </x:c>
      <x:c r="U30" s="54">
        <x:f t="shared" si="9"/>
        <x:v>0.16993503347534311</x:v>
      </x:c>
      <x:c r="V30" s="54">
        <x:f t="shared" si="20"/>
        <x:v>0.3620521384247683</x:v>
      </x:c>
      <x:c r="W30" s="54">
        <x:f t="shared" si="10"/>
        <x:v>0.1577623834753431</x:v>
      </x:c>
      <x:c r="X30" s="55">
        <x:f t="shared" si="21"/>
        <x:v>0</x:v>
      </x:c>
      <x:c r="Y30" s="47">
        <x:v>42704</x:v>
      </x:c>
      <x:c r="Z30" s="50">
        <x:v>54133231014.999496</x:v>
      </x:c>
      <x:c r="AA30" s="54">
        <x:f t="shared" si="3"/>
        <x:v>24.714714085887088</x:v>
      </x:c>
      <x:c r="AB30" s="54">
        <x:f t="shared" si="11"/>
        <x:v>-7.9537353658604815E-2</x:v>
      </x:c>
      <x:c r="AC30" s="54">
        <x:f t="shared" si="22"/>
        <x:v>-7.4518843653268413E-2</x:v>
      </x:c>
      <x:c r="AD30" s="54">
        <x:f t="shared" si="23"/>
        <x:v>-0.11088266907560482</x:v>
      </x:c>
      <x:c r="AE30" s="55"/>
      <x:c r="AF30" s="47">
        <x:v>42704</x:v>
      </x:c>
      <x:c r="AG30" s="50">
        <x:v>24741331743.284298</x:v>
      </x:c>
      <x:c r="AH30" s="54">
        <x:f t="shared" si="4"/>
        <x:v>23.931741032020778</x:v>
      </x:c>
      <x:c r="AI30" s="54">
        <x:f t="shared" si="12"/>
        <x:v>1.2811980485864183E-2</x:v>
      </x:c>
      <x:c r="AJ30" s="54">
        <x:f t="shared" si="26"/>
        <x:v>7.3284061650673513E-3</x:v>
      </x:c>
      <x:c r="AK30" s="54">
        <x:f t="shared" si="14"/>
        <x:v>9.7379804858641755E-3</x:v>
      </x:c>
      <x:c r="AL30" s="55">
        <x:f t="shared" si="5"/>
        <x:v>-1.8624804925621422E-2</x:v>
      </x:c>
      <x:c r="AM30" s="47">
        <x:v>42704</x:v>
      </x:c>
      <x:c r="AN30" s="50">
        <x:v>204068784329.97498</x:v>
      </x:c>
      <x:c r="AO30" s="54">
        <x:f t="shared" si="6"/>
        <x:v>26.041722952046982</x:v>
      </x:c>
      <x:c r="AP30" s="54">
        <x:f t="shared" si="15"/>
        <x:v>5.25070605328537E-3</x:v>
      </x:c>
      <x:c r="AQ30" s="54">
        <x:f t="shared" si="24"/>
        <x:v>2.7828946354693448E-3</x:v>
      </x:c>
      <x:c r="AR30" s="55">
        <x:f t="shared" si="25"/>
        <x:v>4.8316215602853714E-3</x:v>
      </x:c>
    </x:row>
    <x:row r="31">
      <x:c r="B31" s="47">
        <x:v>42735</x:v>
      </x:c>
      <x:c r="C31" s="50">
        <x:v>67082776069.6735</x:v>
      </x:c>
      <x:c r="D31" s="54">
        <x:f t="shared" si="0"/>
        <x:v>24.929193157506546</x:v>
      </x:c>
      <x:c r="E31" s="54">
        <x:f t="shared" si="7"/>
        <x:v>8.6340638581727802E-2</x:v>
      </x:c>
      <x:c r="F31" s="54">
        <x:f t="shared" si="18"/>
        <x:v>-3.6110125797465427E-3</x:v>
      </x:c>
      <x:c r="G31" s="54">
        <x:f t="shared" si="19"/>
        <x:v>7.3529638581727799E-2</x:v>
      </x:c>
      <x:c r="H31" s="55"/>
      <x:c r="J31" s="47">
        <x:v>42735</x:v>
      </x:c>
      <x:c r="K31" s="50">
        <x:v>754940392.73150003</x:v>
      </x:c>
      <x:c r="L31" s="54">
        <x:f t="shared" si="1"/>
        <x:v>-0.28111648287433283</x:v>
      </x:c>
      <x:c r="M31" s="54">
        <x:f t="shared" si="8"/>
        <x:v>-0.24427891164031837</x:v>
      </x:c>
      <x:c r="N31" s="54">
        <x:f t="shared" si="27"/>
        <x:v>-0.25467706477051949</x:v>
      </x:c>
      <x:c r="O31" s="54">
        <x:f t="shared" si="28"/>
        <x:v>-0.24427891164031834</x:v>
      </x:c>
      <x:c r="P31" s="55">
        <x:f t="shared" si="29"/>
        <x:v>0</x:v>
      </x:c>
      <x:c r="R31" s="47">
        <x:v>42735</x:v>
      </x:c>
      <x:c r="S31" s="50">
        <x:v>77153382.25</x:v>
      </x:c>
      <x:c r="T31" s="54">
        <x:f t="shared" si="2"/>
        <x:v>-2.5619598612116792</x:v>
      </x:c>
      <x:c r="U31" s="54">
        <x:f t="shared" si="9"/>
        <x:v>-0.77340920772338362</x:v>
      </x:c>
      <x:c r="V31" s="54">
        <x:f t="shared" si="20"/>
        <x:v>-0.46984185906910042</x:v>
      </x:c>
      <x:c r="W31" s="54">
        <x:f t="shared" si="10"/>
        <x:v>-0.78558185772338363</x:v>
      </x:c>
      <x:c r="X31" s="55">
        <x:f t="shared" si="21"/>
        <x:v>0</x:v>
      </x:c>
      <x:c r="Y31" s="47">
        <x:v>42735</x:v>
      </x:c>
      <x:c r="Z31" s="50">
        <x:v>54309416086.9366</x:v>
      </x:c>
      <x:c r="AA31" s="54">
        <x:f t="shared" si="3"/>
        <x:v>24.717963457451969</x:v>
      </x:c>
      <x:c r="AB31" s="54">
        <x:f t="shared" si="11"/>
        <x:v>3.2493715648804766E-3</x:v>
      </x:c>
      <x:c r="AC31" s="54">
        <x:f t="shared" si="22"/>
        <x:v>-3.9223237584017349E-2</x:v>
      </x:c>
      <x:c r="AD31" s="54">
        <x:f t="shared" si="23"/>
        <x:v>-2.8095943852119516E-2</x:v>
      </x:c>
      <x:c r="AE31" s="55"/>
      <x:c r="AF31" s="47">
        <x:v>42735</x:v>
      </x:c>
      <x:c r="AG31" s="50">
        <x:v>22111889901.042801</x:v>
      </x:c>
      <x:c r="AH31" s="54">
        <x:f t="shared" si="4"/>
        <x:v>23.819381305369618</x:v>
      </x:c>
      <x:c r="AI31" s="54">
        <x:f t="shared" si="12"/>
        <x:v>-0.11235972665116023</x:v>
      </x:c>
      <x:c r="AJ31" s="54">
        <x:f t="shared" si="26"/>
        <x:v>-9.6024873637268332E-2</x:v>
      </x:c>
      <x:c r="AK31" s="54">
        <x:f t="shared" si="14"/>
        <x:v>-0.11543372665116024</x:v>
      </x:c>
      <x:c r="AL31" s="55">
        <x:f t="shared" si="5"/>
        <x:v>-0.13405853157678166</x:v>
      </x:c>
      <x:c r="AM31" s="47">
        <x:v>42735</x:v>
      </x:c>
      <x:c r="AN31" s="50">
        <x:v>208213959548.72498</x:v>
      </x:c>
      <x:c r="AO31" s="54">
        <x:f t="shared" si="6"/>
        <x:v>26.06183203962469</x:v>
      </x:c>
      <x:c r="AP31" s="54">
        <x:f t="shared" si="15"/>
        <x:v>2.0109087577708351E-2</x:v>
      </x:c>
      <x:c r="AQ31" s="54">
        <x:f t="shared" si="24"/>
        <x:v>6.736921660632094E-3</x:v>
      </x:c>
      <x:c r="AR31" s="55">
        <x:f t="shared" si="25"/>
        <x:v>1.9690003084708356E-2</x:v>
      </x:c>
    </x:row>
    <x:row r="32">
      <x:c r="B32" s="47">
        <x:v>42766</x:v>
      </x:c>
      <x:c r="C32" s="50">
        <x:v>64861785889.388504</x:v>
      </x:c>
      <x:c r="D32" s="54">
        <x:f t="shared" si="0"/>
        <x:v>24.895524471973012</x:v>
      </x:c>
      <x:c r="E32" s="54">
        <x:f t="shared" si="7"/>
        <x:v>-3.3668685533534415E-2</x:v>
      </x:c>
      <x:c r="F32" s="54">
        <x:f t="shared" si="18"/>
        <x:v>-0.1029893451912242</x:v>
      </x:c>
      <x:c r="G32" s="54">
        <x:f t="shared" si="19"/>
        <x:v>-4.6479685533534418E-2</x:v>
      </x:c>
      <x:c r="H32" s="55"/>
      <x:c r="J32" s="47">
        <x:v>42766</x:v>
      </x:c>
      <x:c r="K32" s="50">
        <x:v>804495739.21379995</x:v>
      </x:c>
      <x:c r="L32" s="54">
        <x:f t="shared" si="1"/>
        <x:v>-0.21753960875539599</x:v>
      </x:c>
      <x:c r="M32" s="54">
        <x:f t="shared" si="8"/>
        <x:v>6.3576874118936838E-2</x:v>
      </x:c>
      <x:c r="N32" s="54">
        <x:f t="shared" si="27"/>
        <x:v>-0.21508666979479052</x:v>
      </x:c>
      <x:c r="O32" s="54">
        <x:f t="shared" si="28"/>
        <x:v>6.3576874118936838E-2</x:v>
      </x:c>
      <x:c r="P32" s="55">
        <x:f t="shared" si="29"/>
        <x:v>0</x:v>
      </x:c>
      <x:c r="R32" s="47">
        <x:v>42766</x:v>
      </x:c>
      <x:c r="S32" s="50">
        <x:v>72324761.25</x:v>
      </x:c>
      <x:c r="T32" s="54">
        <x:f t="shared" si="2"/>
        <x:v>-2.6265887291969388</x:v>
      </x:c>
      <x:c r="U32" s="54">
        <x:f t="shared" si="9"/>
        <x:v>-6.4628867985259575E-2</x:v>
      </x:c>
      <x:c r="V32" s="54">
        <x:f t="shared" si="20"/>
        <x:v>-0.33586732578731782</x:v>
      </x:c>
      <x:c r="W32" s="54">
        <x:f t="shared" si="10"/>
        <x:v>-7.6801517985259582E-2</x:v>
      </x:c>
      <x:c r="X32" s="55">
        <x:f t="shared" si="21"/>
        <x:v>0</x:v>
      </x:c>
      <x:c r="Y32" s="47">
        <x:v>42766</x:v>
      </x:c>
      <x:c r="Z32" s="50">
        <x:v>59544799611.405296</x:v>
      </x:c>
      <x:c r="AA32" s="54">
        <x:f t="shared" si="3"/>
        <x:v>24.809994800830374</x:v>
      </x:c>
      <x:c r="AB32" s="54">
        <x:f t="shared" si="11"/>
        <x:v>9.2031343378405239E-2</x:v>
      </x:c>
      <x:c r="AC32" s="54">
        <x:f t="shared" si="22"/>
        <x:v>4.7106091506545406E-2</x:v>
      </x:c>
      <x:c r="AD32" s="54">
        <x:f t="shared" si="23"/>
        <x:v>6.068602796140523E-2</x:v>
      </x:c>
      <x:c r="AE32" s="55"/>
      <x:c r="AF32" s="47">
        <x:v>42766</x:v>
      </x:c>
      <x:c r="AG32" s="50">
        <x:v>22893287402.6432</x:v>
      </x:c>
      <x:c r="AH32" s="54">
        <x:f t="shared" si="4"/>
        <x:v>23.854109578014498</x:v>
      </x:c>
      <x:c r="AI32" s="54">
        <x:f t="shared" si="12"/>
        <x:v>3.472827264488032E-2</x:v>
      </x:c>
      <x:c r="AJ32" s="54">
        <x:f t="shared" si="26"/>
        <x:v>1.8212235851212039E-2</x:v>
      </x:c>
      <x:c r="AK32" s="54">
        <x:f t="shared" si="14"/>
        <x:v>3.1654272644880327E-2</x:v>
      </x:c>
      <x:c r="AL32" s="55">
        <x:f t="shared" si="5"/>
        <x:v>-0.10240425893190133</x:v>
      </x:c>
      <x:c r="AM32" s="47">
        <x:v>42766</x:v>
      </x:c>
      <x:c r="AN32" s="50">
        <x:v>212703194308.97498</x:v>
      </x:c>
      <x:c r="AO32" s="54">
        <x:f t="shared" si="6"/>
        <x:v>26.08316357694757</x:v>
      </x:c>
      <x:c r="AP32" s="54">
        <x:f t="shared" si="15"/>
        <x:v>2.1331537322879512E-2</x:v>
      </x:c>
      <x:c r="AQ32" s="54">
        <x:f t="shared" si="24"/>
        <x:v>2.4376009083354955E-2</x:v>
      </x:c>
      <x:c r="AR32" s="55">
        <x:f t="shared" si="25"/>
        <x:v>2.091245282987951E-2</x:v>
      </x:c>
    </x:row>
    <x:row r="33">
      <x:c r="B33" s="47">
        <x:v>42794</x:v>
      </x:c>
      <x:c r="C33" s="50">
        <x:v>81076899259.243698</x:v>
      </x:c>
      <x:c r="D33" s="54">
        <x:f t="shared" si="0"/>
        <x:v>25.118663914819695</x:v>
      </x:c>
      <x:c r="E33" s="54">
        <x:f t="shared" si="7"/>
        <x:v>0.22313944284668352</x:v>
      </x:c>
      <x:c r="F33" s="54">
        <x:f t="shared" si="18"/>
        <x:v>0.17052084163840509</x:v>
      </x:c>
      <x:c r="G33" s="54">
        <x:f t="shared" si="19"/>
        <x:v>0.21032844284668351</x:v>
      </x:c>
      <x:c r="H33" s="55"/>
      <x:c r="J33" s="47">
        <x:v>42794</x:v>
      </x:c>
      <x:c r="K33" s="50">
        <x:v>858230525.0108</x:v>
      </x:c>
      <x:c r="L33" s="54">
        <x:f t="shared" si="1"/>
        <x:v>-0.15288253841265698</x:v>
      </x:c>
      <x:c r="M33" s="54">
        <x:f t="shared" si="8"/>
        <x:v>6.4657070342739015E-2</x:v>
      </x:c>
      <x:c r="N33" s="54">
        <x:f t="shared" si="27"/>
        <x:v>-0.36702377545626574</x:v>
      </x:c>
      <x:c r="O33" s="54">
        <x:f t="shared" si="28"/>
        <x:v>6.4657070342738959E-2</x:v>
      </x:c>
      <x:c r="P33" s="55">
        <x:f t="shared" si="29"/>
        <x:v>0</x:v>
      </x:c>
      <x:c r="R33" s="47">
        <x:v>42794</x:v>
      </x:c>
      <x:c r="S33" s="50">
        <x:v>100789444.25</x:v>
      </x:c>
      <x:c r="T33" s="54">
        <x:f t="shared" si="2"/>
        <x:v>-2.2947216485704272</x:v>
      </x:c>
      <x:c r="U33" s="54">
        <x:f t="shared" si="9"/>
        <x:v>0.3318670806265116</x:v>
      </x:c>
      <x:c r="V33" s="54">
        <x:f t="shared" si="20"/>
        <x:v>1.4403132879146074E-3</x:v>
      </x:c>
      <x:c r="W33" s="54">
        <x:f t="shared" si="10"/>
        <x:v>0.31969443062651159</x:v>
      </x:c>
      <x:c r="X33" s="55">
        <x:f t="shared" si="21"/>
        <x:v>0</x:v>
      </x:c>
      <x:c r="Y33" s="47">
        <x:v>42794</x:v>
      </x:c>
      <x:c r="Z33" s="50">
        <x:v>61987816879.283401</x:v>
      </x:c>
      <x:c r="AA33" s="54">
        <x:f t="shared" si="3"/>
        <x:v>24.850203700735424</x:v>
      </x:c>
      <x:c r="AB33" s="54">
        <x:f t="shared" si="11"/>
        <x:v>4.0208899905049833E-2</x:v>
      </x:c>
      <x:c r="AC33" s="54">
        <x:f t="shared" si="22"/>
        <x:v>4.0874218632549371E-2</x:v>
      </x:c>
      <x:c r="AD33" s="54">
        <x:f t="shared" si="23"/>
        <x:v>8.8635844880498443E-3</x:v>
      </x:c>
      <x:c r="AE33" s="55"/>
      <x:c r="AF33" s="47">
        <x:v>42794</x:v>
      </x:c>
      <x:c r="AG33" s="50">
        <x:v>23496849299.501801</x:v>
      </x:c>
      <x:c r="AH33" s="54">
        <x:f t="shared" si="4"/>
        <x:v>23.880132176746397</x:v>
      </x:c>
      <x:c r="AI33" s="54">
        <x:f t="shared" si="12"/>
        <x:v>2.6022598731898938E-2</x:v>
      </x:c>
      <x:c r="AJ33" s="54">
        <x:f t="shared" si="26"/>
        <x:v>-1.4351753446795769E-3</x:v>
      </x:c>
      <x:c r="AK33" s="54">
        <x:f t="shared" si="14"/>
        <x:v>2.2948598731898945E-2</x:v>
      </x:c>
      <x:c r="AL33" s="55">
        <x:f t="shared" si="5"/>
        <x:v>-7.9455660200002387E-2</x:v>
      </x:c>
      <x:c r="AM33" s="47">
        <x:v>42794</x:v>
      </x:c>
      <x:c r="AN33" s="50">
        <x:v>211654801971.57498</x:v>
      </x:c>
      <x:c r="AO33" s="54">
        <x:f t="shared" si="6"/>
        <x:v>26.078222491922329</x:v>
      </x:c>
      <x:c r="AP33" s="54">
        <x:f t="shared" si="15"/>
        <x:v>-4.9410850252407101E-3</x:v>
      </x:c>
      <x:c r="AQ33" s="54">
        <x:f t="shared" si="24"/>
        <x:v>-4.9402549168771192E-3</x:v>
      </x:c>
      <x:c r="AR33" s="55">
        <x:f t="shared" si="25"/>
        <x:v>-5.3601695182407105E-3</x:v>
      </x:c>
    </x:row>
    <x:row r="34">
      <x:c r="B34" s="47">
        <x:v>42825</x:v>
      </x:c>
      <x:c r="C34" s="50">
        <x:v>89744167066.442291</x:v>
      </x:c>
      <x:c r="D34" s="54">
        <x:f t="shared" si="0"/>
        <x:v>25.22022887129965</x:v>
      </x:c>
      <x:c r="E34" s="54">
        <x:f t="shared" si="7"/>
        <x:v>0.10156495647995456</x:v>
      </x:c>
      <x:c r="F34" s="54">
        <x:f t="shared" si="18"/>
        <x:v>0.13216125111000634</x:v>
      </x:c>
      <x:c r="G34" s="54">
        <x:f t="shared" si="19"/>
        <x:v>8.8753956479954557E-2</x:v>
      </x:c>
      <x:c r="H34" s="55"/>
      <x:c r="J34" s="47">
        <x:v>42825</x:v>
      </x:c>
      <x:c r="K34" s="50">
        <x:v>887352352.07169998</x:v>
      </x:c>
      <x:c r="L34" s="54">
        <x:f t="shared" si="1"/>
        <x:v>-0.11951313533544194</x:v>
      </x:c>
      <x:c r="M34" s="54">
        <x:f t="shared" si="8"/>
        <x:v>3.3369403077215032E-2</x:v>
      </x:c>
      <x:c r="N34" s="54">
        <x:f t="shared" si="27"/>
        <x:v>-0.1130103601413544</x:v>
      </x:c>
      <x:c r="O34" s="54">
        <x:f t="shared" si="28"/>
        <x:v>3.3369403077215032E-2</x:v>
      </x:c>
      <x:c r="P34" s="55">
        <x:f t="shared" si="29"/>
        <x:v>0</x:v>
      </x:c>
      <x:c r="R34" s="47">
        <x:v>42825</x:v>
      </x:c>
      <x:c r="S34" s="50">
        <x:v>44451043.25</x:v>
      </x:c>
      <x:c r="T34" s="54">
        <x:f t="shared" si="2"/>
        <x:v>-3.113366847106418</x:v>
      </x:c>
      <x:c r="U34" s="54">
        <x:f t="shared" si="9"/>
        <x:v>-0.81864519853599083</x:v>
      </x:c>
      <x:c r="V34" s="54">
        <x:f t="shared" si="20"/>
        <x:v>-0.9198207729305985</x:v>
      </x:c>
      <x:c r="W34" s="54">
        <x:f t="shared" si="10"/>
        <x:v>-0.83081784853599083</x:v>
      </x:c>
      <x:c r="X34" s="55">
        <x:f t="shared" si="21"/>
        <x:v>0</x:v>
      </x:c>
      <x:c r="Y34" s="47">
        <x:v>42825</x:v>
      </x:c>
      <x:c r="Z34" s="50">
        <x:v>57715871037.438301</x:v>
      </x:c>
      <x:c r="AA34" s="54">
        <x:f t="shared" si="3"/>
        <x:v>24.778798033945463</x:v>
      </x:c>
      <x:c r="AB34" s="54">
        <x:f t="shared" si="11"/>
        <x:v>-7.140566678996052E-2</x:v>
      </x:c>
      <x:c r="AC34" s="54">
        <x:f t="shared" si="22"/>
        <x:v>-5.2931557576747307E-2</x:v>
      </x:c>
      <x:c r="AD34" s="54">
        <x:f t="shared" si="23"/>
        <x:v>-0.10275098220696052</x:v>
      </x:c>
      <x:c r="AE34" s="55"/>
      <x:c r="AF34" s="47">
        <x:v>42825</x:v>
      </x:c>
      <x:c r="AG34" s="50">
        <x:v>24649522459.122601</x:v>
      </x:c>
      <x:c r="AH34" s="54">
        <x:f t="shared" si="4"/>
        <x:v>23.928023364392388</x:v>
      </x:c>
      <x:c r="AI34" s="54">
        <x:f t="shared" si="12"/>
        <x:v>4.7891187645991096E-2</x:v>
      </x:c>
      <x:c r="AJ34" s="54">
        <x:f t="shared" si="26"/>
        <x:v>3.7634092505486674E-3</x:v>
      </x:c>
      <x:c r="AK34" s="54">
        <x:f t="shared" si="14"/>
        <x:v>4.4817187645991088E-2</x:v>
      </x:c>
      <x:c r="AL34" s="55">
        <x:f t="shared" si="5"/>
        <x:v>-3.4638472554011299E-2</x:v>
      </x:c>
      <x:c r="AM34" s="47">
        <x:v>42825</x:v>
      </x:c>
      <x:c r="AN34" s="50">
        <x:v>214666414341.57498</x:v>
      </x:c>
      <x:c r="AO34" s="54">
        <x:f t="shared" si="6"/>
        <x:v>26.09235109895452</x:v>
      </x:c>
      <x:c r="AP34" s="54">
        <x:f t="shared" si="15"/>
        <x:v>1.4128607032191098E-2</x:v>
      </x:c>
      <x:c r="AQ34" s="54">
        <x:f t="shared" si="24"/>
        <x:v>1.2470262750018789E-2</x:v>
      </x:c>
      <x:c r="AR34" s="55">
        <x:f t="shared" si="25"/>
        <x:v>1.3709522539191098E-2</x:v>
      </x:c>
    </x:row>
    <x:row r="35">
      <x:c r="B35" s="47">
        <x:v>42855</x:v>
      </x:c>
      <x:c r="C35" s="50">
        <x:v>85573857923.749405</x:v>
      </x:c>
      <x:c r="D35" s="54">
        <x:f t="shared" si="0"/>
        <x:v>25.172645675363576</x:v>
      </x:c>
      <x:c r="E35" s="54">
        <x:f t="shared" si="7"/>
        <x:v>-4.7583195936073963E-2</x:v>
      </x:c>
      <x:c r="F35" s="54">
        <x:f t="shared" si="18"/>
        <x:v>2.4945802990402471E-2</x:v>
      </x:c>
      <x:c r="G35" s="54">
        <x:f t="shared" si="19"/>
        <x:v>-6.0394195936073966E-2</x:v>
      </x:c>
      <x:c r="H35" s="55"/>
      <x:c r="J35" s="47">
        <x:v>42855</x:v>
      </x:c>
      <x:c r="K35" s="50">
        <x:v>1415697455.1942999</x:v>
      </x:c>
      <x:c r="L35" s="54">
        <x:f t="shared" si="1"/>
        <x:v>0.34762231085669321</x:v>
      </x:c>
      <x:c r="M35" s="54">
        <x:f t="shared" si="8"/>
        <x:v>0.46713544619213515</x:v>
      </x:c>
      <x:c r="N35" s="54">
        <x:f t="shared" si="27"/>
        <x:v>0.46384739773522732</x:v>
      </x:c>
      <x:c r="O35" s="54">
        <x:f t="shared" si="28"/>
        <x:v>0.46713544619213521</x:v>
      </x:c>
      <x:c r="P35" s="55">
        <x:f t="shared" si="29"/>
        <x:v>0</x:v>
      </x:c>
      <x:c r="R35" s="47">
        <x:v>42855</x:v>
      </x:c>
      <x:c r="S35" s="50">
        <x:v>58022930.25</x:v>
      </x:c>
      <x:c r="T35" s="54">
        <x:f t="shared" si="2"/>
        <x:v>-2.8469169974276656</x:v>
      </x:c>
      <x:c r="U35" s="54">
        <x:f t="shared" si="9"/>
        <x:v>0.2664498496787524</x:v>
      </x:c>
      <x:c r="V35" s="54">
        <x:f t="shared" si="20"/>
        <x:v>-0.44243942526263036</x:v>
      </x:c>
      <x:c r="W35" s="54">
        <x:f t="shared" si="10"/>
        <x:v>0.2542771996787524</x:v>
      </x:c>
      <x:c r="X35" s="55">
        <x:f t="shared" si="21"/>
        <x:v>0</x:v>
      </x:c>
      <x:c r="Y35" s="47">
        <x:v>42855</x:v>
      </x:c>
      <x:c r="Z35" s="50">
        <x:v>59387319256.132698</x:v>
      </x:c>
      <x:c r="AA35" s="54">
        <x:f t="shared" si="3"/>
        <x:v>24.807346559988311</x:v>
      </x:c>
      <x:c r="AB35" s="54">
        <x:f t="shared" si="11"/>
        <x:v>2.85485260428473E-2</x:v>
      </x:c>
      <x:c r="AC35" s="54">
        <x:f t="shared" si="22"/>
        <x:v>-1.615340922484592E-3</x:v>
      </x:c>
      <x:c r="AD35" s="54">
        <x:f t="shared" si="23"/>
        <x:v>-2.7967893741526959E-3</x:v>
      </x:c>
      <x:c r="AE35" s="55"/>
      <x:c r="AF35" s="47">
        <x:v>42855</x:v>
      </x:c>
      <x:c r="AG35" s="50">
        <x:v>25172815598.253201</x:v>
      </x:c>
      <x:c r="AH35" s="54">
        <x:f t="shared" si="4"/>
        <x:v>23.949030503097369</x:v>
      </x:c>
      <x:c r="AI35" s="54">
        <x:f t="shared" si="12"/>
        <x:v>2.1007138704980832E-2</x:v>
      </x:c>
      <x:c r="AJ35" s="54">
        <x:f t="shared" si="26"/>
        <x:v>1.2135921356696291E-2</x:v>
      </x:c>
      <x:c r="AK35" s="54">
        <x:f t="shared" si="14"/>
        <x:v>1.7933138704980839E-2</x:v>
      </x:c>
      <x:c r="AL35" s="55">
        <x:f t="shared" si="5"/>
        <x:v>-1.670533384903046E-2</x:v>
      </x:c>
      <x:c r="AM35" s="47">
        <x:v>42855</x:v>
      </x:c>
      <x:c r="AN35" s="50">
        <x:v>213811397656.91</x:v>
      </x:c>
      <x:c r="AO35" s="54">
        <x:f t="shared" si="6"/>
        <x:v>26.088360144017791</x:v>
      </x:c>
      <x:c r="AP35" s="54">
        <x:f t="shared" si="15"/>
        <x:v>-3.9909549367287411E-3</x:v>
      </x:c>
      <x:c r="AQ35" s="54">
        <x:f t="shared" si="24"/>
        <x:v>-6.9257989333609887E-3</x:v>
      </x:c>
      <x:c r="AR35" s="55">
        <x:f t="shared" si="25"/>
        <x:v>-4.4100394297287406E-3</x:v>
      </x:c>
    </x:row>
    <x:row r="36">
      <x:c r="B36" s="47">
        <x:v>42886</x:v>
      </x:c>
      <x:c r="C36" s="50">
        <x:v>74883581154.026398</x:v>
      </x:c>
      <x:c r="D36" s="54">
        <x:f t="shared" si="0"/>
        <x:v>25.039200493212896</x:v>
      </x:c>
      <x:c r="E36" s="54">
        <x:f t="shared" si="7"/>
        <x:v>-0.13344518215068035</x:v>
      </x:c>
      <x:c r="F36" s="54">
        <x:f t="shared" si="18"/>
        <x:v>-0.10950248956370343</x:v>
      </x:c>
      <x:c r="G36" s="54">
        <x:f t="shared" si="19"/>
        <x:v>-0.14625618215068034</x:v>
      </x:c>
      <x:c r="H36" s="55"/>
      <x:c r="J36" s="47">
        <x:v>42886</x:v>
      </x:c>
      <x:c r="K36" s="50">
        <x:v>955532154.67949998</x:v>
      </x:c>
      <x:c r="L36" s="54">
        <x:f t="shared" si="1"/>
        <x:v>-4.5486863665520176E-2</x:v>
      </x:c>
      <x:c r="M36" s="54">
        <x:f t="shared" si="8"/>
        <x:v>-0.39310917452221339</x:v>
      </x:c>
      <x:c r="N36" s="54">
        <x:f t="shared" si="27"/>
        <x:v>-0.42144768925903642</x:v>
      </x:c>
      <x:c r="O36" s="54">
        <x:f t="shared" si="28"/>
        <x:v>-0.39310917452221333</x:v>
      </x:c>
      <x:c r="P36" s="55">
        <x:f t="shared" si="29"/>
        <x:v>0</x:v>
      </x:c>
      <x:c r="R36" s="47">
        <x:v>42886</x:v>
      </x:c>
      <x:c r="S36" s="50">
        <x:v>37893189.25</x:v>
      </x:c>
      <x:c r="T36" s="54">
        <x:f t="shared" si="2"/>
        <x:v>-3.2729838862085319</x:v>
      </x:c>
      <x:c r="U36" s="54">
        <x:f t="shared" si="9"/>
        <x:v>-0.42606688878086629</x:v>
      </x:c>
      <x:c r="V36" s="54">
        <x:f t="shared" si="20"/>
        <x:v>-0.9532941419016725</x:v>
      </x:c>
      <x:c r="W36" s="54">
        <x:f t="shared" si="10"/>
        <x:v>-0.4382395387808663</x:v>
      </x:c>
      <x:c r="X36" s="55">
        <x:f t="shared" si="21"/>
        <x:v>0</x:v>
      </x:c>
      <x:c r="Y36" s="47">
        <x:v>42886</x:v>
      </x:c>
      <x:c r="Z36" s="50">
        <x:v>58341740203.117798</x:v>
      </x:c>
      <x:c r="AA36" s="54">
        <x:f t="shared" si="3"/>
        <x:v>24.789583629585582</x:v>
      </x:c>
      <x:c r="AB36" s="54">
        <x:f t="shared" si="11"/>
        <x:v>-1.7762930402728472E-2</x:v>
      </x:c>
      <x:c r="AC36" s="54">
        <x:f t="shared" si="22"/>
        <x:v>-3.8689724322182442E-2</x:v>
      </x:c>
      <x:c r="AD36" s="54">
        <x:f t="shared" si="23"/>
        <x:v>-4.9108245819728474E-2</x:v>
      </x:c>
      <x:c r="AE36" s="55"/>
      <x:c r="AF36" s="47">
        <x:v>42886</x:v>
      </x:c>
      <x:c r="AG36" s="50">
        <x:v>26134334450.963799</x:v>
      </x:c>
      <x:c r="AH36" s="54">
        <x:f t="shared" si="4"/>
        <x:v>23.986515782973523</x:v>
      </x:c>
      <x:c r="AI36" s="54">
        <x:f t="shared" si="12"/>
        <x:v>3.7485279876154465E-2</x:v>
      </x:c>
      <x:c r="AJ36" s="54">
        <x:f t="shared" si="26"/>
        <x:v>3.2254741023729681E-2</x:v>
      </x:c>
      <x:c r="AK36" s="54">
        <x:f t="shared" si="14"/>
        <x:v>3.4411279876154457E-2</x:v>
      </x:c>
      <x:c r="AL36" s="55">
        <x:f t="shared" si="5"/>
        <x:v>1.7705946027123998E-2</x:v>
      </x:c>
      <x:c r="AM36" s="47">
        <x:v>42886</x:v>
      </x:c>
      <x:c r="AN36" s="50">
        <x:v>213433228120.57999</x:v>
      </x:c>
      <x:c r="AO36" s="54">
        <x:f t="shared" si="6"/>
        <x:v>26.086589871849228</x:v>
      </x:c>
      <x:c r="AP36" s="54">
        <x:f t="shared" si="15"/>
        <x:v>-1.7702721685637357E-3</x:v>
      </x:c>
      <x:c r="AQ36" s="54">
        <x:f t="shared" si="24"/>
        <x:v>-5.8410090692923456E-3</x:v>
      </x:c>
      <x:c r="AR36" s="55">
        <x:f t="shared" si="25"/>
        <x:v>-2.189356661563736E-3</x:v>
      </x:c>
    </x:row>
    <x:row r="37">
      <x:c r="B37" s="47">
        <x:v>42916</x:v>
      </x:c>
      <x:c r="C37" s="50">
        <x:v>70608956526.595001</x:v>
      </x:c>
      <x:c r="D37" s="54">
        <x:f t="shared" si="0"/>
        <x:v>24.980422836382111</x:v>
      </x:c>
      <x:c r="E37" s="54">
        <x:f t="shared" si="7"/>
        <x:v>-5.8777656830784508E-2</x:v>
      </x:c>
      <x:c r="F37" s="54">
        <x:f t="shared" si="18"/>
        <x:v>-0.10796938763685647</x:v>
      </x:c>
      <x:c r="G37" s="54">
        <x:f t="shared" si="19"/>
        <x:v>-7.1588656830784511E-2</x:v>
      </x:c>
      <x:c r="H37" s="55"/>
      <x:c r="J37" s="47">
        <x:v>42916</x:v>
      </x:c>
      <x:c r="K37" s="50">
        <x:v>1055819064.348</x:v>
      </x:c>
      <x:c r="L37" s="54">
        <x:f t="shared" si="1"/>
        <x:v>5.4316830024050342E-2</x:v>
      </x:c>
      <x:c r="M37" s="54">
        <x:f t="shared" si="8"/>
        <x:v>9.9803693689570511E-2</x:v>
      </x:c>
      <x:c r="N37" s="54">
        <x:f t="shared" si="27"/>
        <x:v>4.4687685932389642E-2</x:v>
      </x:c>
      <x:c r="O37" s="54">
        <x:f t="shared" si="28"/>
        <x:v>9.9803693689570538E-2</x:v>
      </x:c>
      <x:c r="P37" s="55">
        <x:f t="shared" si="29"/>
        <x:v>0</x:v>
      </x:c>
      <x:c r="R37" s="47">
        <x:v>42916</x:v>
      </x:c>
      <x:c r="S37" s="50">
        <x:v>66806590.25</x:v>
      </x:c>
      <x:c r="T37" s="54">
        <x:f t="shared" si="2"/>
        <x:v>-2.7059535468686375</x:v>
      </x:c>
      <x:c r="U37" s="54">
        <x:f t="shared" si="9"/>
        <x:v>0.56703033933989433</x:v>
      </x:c>
      <x:c r="V37" s="54">
        <x:f t="shared" si="20"/>
        <x:v>-0.28232108246266185</x:v>
      </x:c>
      <x:c r="W37" s="54">
        <x:f t="shared" si="10"/>
        <x:v>0.55485768933989432</x:v>
      </x:c>
      <x:c r="X37" s="55">
        <x:f t="shared" si="21"/>
        <x:v>0</x:v>
      </x:c>
      <x:c r="Y37" s="47">
        <x:v>42916</x:v>
      </x:c>
      <x:c r="Z37" s="50">
        <x:v>61848062732.0905</x:v>
      </x:c>
      <x:c r="AA37" s="54">
        <x:f t="shared" si="3"/>
        <x:v>24.847946613258639</x:v>
      </x:c>
      <x:c r="AB37" s="54">
        <x:f t="shared" si="11"/>
        <x:v>5.836298367305659E-2</x:v>
      </x:c>
      <x:c r="AC37" s="54">
        <x:f t="shared" si="22"/>
        <x:v>1.380624606852135E-2</x:v>
      </x:c>
      <x:c r="AD37" s="54">
        <x:f t="shared" si="23"/>
        <x:v>2.7017668256056587E-2</x:v>
      </x:c>
      <x:c r="AE37" s="55"/>
      <x:c r="AF37" s="47">
        <x:v>42916</x:v>
      </x:c>
      <x:c r="AG37" s="50">
        <x:v>26466756197.527199</x:v>
      </x:c>
      <x:c r="AH37" s="54">
        <x:f t="shared" si="4"/>
        <x:v>23.999155299303776</x:v>
      </x:c>
      <x:c r="AI37" s="54">
        <x:f t="shared" si="12"/>
        <x:v>1.2639516330253286E-2</x:v>
      </x:c>
      <x:c r="AJ37" s="54">
        <x:f t="shared" si="26"/>
        <x:v>1.0461806090252969E-2</x:v>
      </x:c>
      <x:c r="AK37" s="54">
        <x:f t="shared" si="14"/>
        <x:v>9.5655163302532931E-3</x:v>
      </x:c>
      <x:c r="AL37" s="55">
        <x:f t="shared" si="5"/>
        <x:v>2.7271462357377291E-2</x:v>
      </x:c>
      <x:c r="AM37" s="47">
        <x:v>42916</x:v>
      </x:c>
      <x:c r="AN37" s="50">
        <x:v>211533503847.73999</x:v>
      </x:c>
      <x:c r="AO37" s="54">
        <x:f t="shared" si="6"/>
        <x:v>26.077649233514716</x:v>
      </x:c>
      <x:c r="AP37" s="54">
        <x:f t="shared" si="15"/>
        <x:v>-8.9406383345114193E-3</x:v>
      </x:c>
      <x:c r="AQ37" s="54">
        <x:f t="shared" si="24"/>
        <x:v>-8.8003090436727417E-3</x:v>
      </x:c>
      <x:c r="AR37" s="55">
        <x:f t="shared" si="25"/>
        <x:v>-9.3597228275114179E-3</x:v>
      </x:c>
    </x:row>
    <x:row r="38">
      <x:c r="B38" s="47">
        <x:v>42947</x:v>
      </x:c>
      <x:c r="C38" s="50">
        <x:v>70248498182.427399</x:v>
      </x:c>
      <x:c r="D38" s="54">
        <x:f t="shared" si="0"/>
        <x:v>24.975304766745662</x:v>
      </x:c>
      <x:c r="E38" s="54">
        <x:f t="shared" si="7"/>
        <x:v>-5.1180696364490075E-3</x:v>
      </x:c>
      <x:c r="F38" s="54">
        <x:f t="shared" si="18"/>
        <x:v>-8.1492837561075268E-2</x:v>
      </x:c>
      <x:c r="G38" s="54">
        <x:f t="shared" si="19"/>
        <x:v>-1.7929069636449007E-2</x:v>
      </x:c>
      <x:c r="H38" s="55"/>
      <x:c r="J38" s="47">
        <x:v>42947</x:v>
      </x:c>
      <x:c r="K38" s="50">
        <x:v>594252223.64320004</x:v>
      </x:c>
      <x:c r="L38" s="54">
        <x:f t="shared" si="1"/>
        <x:v>-0.52045143081665124</x:v>
      </x:c>
      <x:c r="M38" s="54">
        <x:f t="shared" si="8"/>
        <x:v>-0.57476826084070154</x:v>
      </x:c>
      <x:c r="N38" s="54">
        <x:f t="shared" si="27"/>
        <x:v>-0.79997262218687826</x:v>
      </x:c>
      <x:c r="O38" s="54">
        <x:f t="shared" si="28"/>
        <x:v>-0.57476826084070154</x:v>
      </x:c>
      <x:c r="P38" s="55">
        <x:f t="shared" si="29"/>
        <x:v>0</x:v>
      </x:c>
      <x:c r="R38" s="47">
        <x:v>42947</x:v>
      </x:c>
      <x:c r="S38" s="50">
        <x:v>71400718.25</x:v>
      </x:c>
      <x:c r="T38" s="54">
        <x:f t="shared" si="2"/>
        <x:v>-2.6394473501633855</x:v>
      </x:c>
      <x:c r="U38" s="54">
        <x:f t="shared" si="9"/>
        <x:v>6.6506196705252041E-2</x:v>
      </x:c>
      <x:c r="V38" s="54">
        <x:f t="shared" si="20"/>
        <x:v>-0.38251946359220224</x:v>
      </x:c>
      <x:c r="W38" s="54">
        <x:f t="shared" si="10"/>
        <x:v>5.4333546705252041E-2</x:v>
      </x:c>
      <x:c r="X38" s="55">
        <x:f t="shared" si="21"/>
        <x:v>0</x:v>
      </x:c>
      <x:c r="Y38" s="47">
        <x:v>42947</x:v>
      </x:c>
      <x:c r="Z38" s="50">
        <x:v>60732244831.633102</x:v>
      </x:c>
      <x:c r="AA38" s="54">
        <x:f t="shared" si="3"/>
        <x:v>24.829740610303038</x:v>
      </x:c>
      <x:c r="AB38" s="54">
        <x:f t="shared" si="11"/>
        <x:v>-1.8206002955601264E-2</x:v>
      </x:c>
      <x:c r="AC38" s="54">
        <x:f t="shared" si="22"/>
        <x:v>-9.6885733806257191E-3</x:v>
      </x:c>
      <x:c r="AD38" s="54">
        <x:f t="shared" si="23"/>
        <x:v>-4.9551318372601259E-2</x:v>
      </x:c>
      <x:c r="AE38" s="55"/>
      <x:c r="AF38" s="47">
        <x:v>42947</x:v>
      </x:c>
      <x:c r="AG38" s="50">
        <x:v>27028936897.6772</x:v>
      </x:c>
      <x:c r="AH38" s="54">
        <x:f t="shared" si="4"/>
        <x:v>24.020173866001713</x:v>
      </x:c>
      <x:c r="AI38" s="54">
        <x:f t="shared" si="12"/>
        <x:v>2.1018566697936336E-2</x:v>
      </x:c>
      <x:c r="AJ38" s="54">
        <x:f t="shared" si="26"/>
        <x:v>2.3986381603307183E-2</x:v>
      </x:c>
      <x:c r="AK38" s="54">
        <x:f t="shared" si="14"/>
        <x:v>1.7944566697936329E-2</x:v>
      </x:c>
      <x:c r="AL38" s="55">
        <x:f t="shared" si="5"/>
        <x:v>4.521602905531362E-2</x:v>
      </x:c>
      <x:c r="AM38" s="47">
        <x:v>42947</x:v>
      </x:c>
      <x:c r="AN38" s="50">
        <x:v>212752378663.48999</x:v>
      </x:c>
      <x:c r="AO38" s="54">
        <x:f t="shared" si="6"/>
        <x:v>26.083394784894338</x:v>
      </x:c>
      <x:c r="AP38" s="54">
        <x:f t="shared" si="15"/>
        <x:v>5.7455513796220714E-3</x:v>
      </x:c>
      <x:c r="AQ38" s="54">
        <x:f t="shared" si="24"/>
        <x:v>1.3180974989468791E-3</x:v>
      </x:c>
      <x:c r="AR38" s="55">
        <x:f t="shared" si="25"/>
        <x:v>5.326466886622072E-3</x:v>
      </x:c>
    </x:row>
    <x:row r="39">
      <x:c r="B39" s="47">
        <x:v>42978</x:v>
      </x:c>
      <x:c r="C39" s="50">
        <x:v>75247216700.091492</x:v>
      </x:c>
      <x:c r="D39" s="54">
        <x:f t="shared" si="0"/>
        <x:v>25.044044752517149</x:v>
      </x:c>
      <x:c r="E39" s="54">
        <x:f t="shared" si="7"/>
        <x:v>6.8739985771486545E-2</x:v>
      </x:c>
      <x:c r="F39" s="54">
        <x:f t="shared" si="18"/>
        <x:v>2.7238665157600372E-3</x:v>
      </x:c>
      <x:c r="G39" s="54">
        <x:f t="shared" si="19"/>
        <x:v>5.5928985771486542E-2</x:v>
      </x:c>
      <x:c r="H39" s="55"/>
      <x:c r="J39" s="47">
        <x:v>42978</x:v>
      </x:c>
      <x:c r="K39" s="50">
        <x:v>1218179627.1210999</x:v>
      </x:c>
      <x:c r="L39" s="54">
        <x:f t="shared" si="1"/>
        <x:v>0.19735763552494465</x:v>
      </x:c>
      <x:c r="M39" s="54">
        <x:f t="shared" si="8"/>
        <x:v>0.71780906634159591</x:v>
      </x:c>
      <x:c r="N39" s="54">
        <x:f t="shared" si="27"/>
        <x:v>0.2719963815728339</x:v>
      </x:c>
      <x:c r="O39" s="54">
        <x:f t="shared" si="28"/>
        <x:v>0.7178090663415958</x:v>
      </x:c>
      <x:c r="P39" s="55">
        <x:f t="shared" si="29"/>
        <x:v>0</x:v>
      </x:c>
      <x:c r="R39" s="47">
        <x:v>42978</x:v>
      </x:c>
      <x:c r="S39" s="50">
        <x:v>60063248.25</x:v>
      </x:c>
      <x:c r="T39" s="54">
        <x:f t="shared" si="2"/>
        <x:v>-2.8123571344728249</x:v>
      </x:c>
      <x:c r="U39" s="54">
        <x:f t="shared" si="9"/>
        <x:v>-0.17290978430943937</x:v>
      </x:c>
      <x:c r="V39" s="54">
        <x:f t="shared" si="20"/>
        <x:v>-0.5857267319304289</x:v>
      </x:c>
      <x:c r="W39" s="54">
        <x:f t="shared" si="10"/>
        <x:v>-0.18508243430943938</x:v>
      </x:c>
      <x:c r="X39" s="55">
        <x:f t="shared" si="21"/>
        <x:v>0</x:v>
      </x:c>
      <x:c r="Y39" s="47">
        <x:v>42978</x:v>
      </x:c>
      <x:c r="Z39" s="50">
        <x:v>62676460568.282097</x:v>
      </x:c>
      <x:c r="AA39" s="54">
        <x:f t="shared" si="3"/>
        <x:v>24.861251784560995</x:v>
      </x:c>
      <x:c r="AB39" s="54">
        <x:f t="shared" si="11"/>
        <x:v>3.1511174257957464E-2</x:v>
      </x:c>
      <x:c r="AC39" s="54">
        <x:f t="shared" si="22"/>
        <x:v>8.9261295933142429E-3</x:v>
      </x:c>
      <x:c r="AD39" s="54">
        <x:f t="shared" si="23"/>
        <x:v>1.6585884095746822E-4</x:v>
      </x:c>
      <x:c r="AE39" s="55"/>
      <x:c r="AF39" s="47">
        <x:v>42978</x:v>
      </x:c>
      <x:c r="AG39" s="50">
        <x:v>23126117170.342899</x:v>
      </x:c>
      <x:c r="AH39" s="54">
        <x:f t="shared" si="4"/>
        <x:v>23.864228429246889</x:v>
      </x:c>
      <x:c r="AI39" s="54">
        <x:f t="shared" si="12"/>
        <x:v>-0.15594543675482342</x:v>
      </x:c>
      <x:c r="AJ39" s="54">
        <x:f t="shared" si="26"/>
        <x:v>-0.11532849889327018</x:v>
      </x:c>
      <x:c r="AK39" s="54">
        <x:f t="shared" si="14"/>
        <x:v>-0.15901943675482341</x:v>
      </x:c>
      <x:c r="AL39" s="55">
        <x:f t="shared" si="5"/>
        <x:v>-0.11380340769950979</x:v>
      </x:c>
      <x:c r="AM39" s="47">
        <x:v>42978</x:v>
      </x:c>
      <x:c r="AN39" s="50">
        <x:v>213291022580.23999</x:v>
      </x:c>
      <x:c r="AO39" s="54">
        <x:f t="shared" si="6"/>
        <x:v>26.085923373306571</x:v>
      </x:c>
      <x:c r="AP39" s="54">
        <x:f t="shared" si="15"/>
        <x:v>2.5285884122325797E-3</x:v>
      </x:c>
      <x:c r="AQ39" s="54">
        <x:f t="shared" si="24"/>
        <x:v>5.3163729558698292E-3</x:v>
      </x:c>
      <x:c r="AR39" s="55">
        <x:f t="shared" si="25"/>
        <x:v>2.1095039192325794E-3</x:v>
      </x:c>
    </x:row>
    <x:row r="40">
      <x:c r="B40" s="47">
        <x:v>43008</x:v>
      </x:c>
      <x:c r="C40" s="50">
        <x:v>64728921858.5271</x:v>
      </x:c>
      <x:c r="D40" s="54" t="n">
        <x:f t="shared" ref="D40:D71" si="30">LN(C40)</x:f>
        <x:v>24.893473953386856</x:v>
      </x:c>
      <x:c r="E40" s="54">
        <x:f t="shared" si="7"/>
        <x:v>-0.1505707991302927</x:v>
      </x:c>
      <x:c r="F40" s="54">
        <x:f t="shared" si="18"/>
        <x:v>-0.17917752972055367</x:v>
      </x:c>
      <x:c r="G40" s="54">
        <x:f t="shared" si="19"/>
        <x:v>-0.16338179913029269</x:v>
      </x:c>
      <x:c r="H40" s="55"/>
      <x:c r="J40" s="47">
        <x:v>43008</x:v>
      </x:c>
      <x:c r="K40" s="50">
        <x:v>1281935353.1833999</x:v>
      </x:c>
      <x:c r="L40" s="54" t="n">
        <x:f t="shared" ref="L40:L71" si="31">LN(K40/1000000000)</x:f>
        <x:v>0.24837093069300845</x:v>
      </x:c>
      <x:c r="M40" s="54">
        <x:f t="shared" si="8"/>
        <x:v>5.1013295168063799E-2</x:v>
      </x:c>
      <x:c r="N40" s="54">
        <x:f t="shared" si="27"/>
        <x:v>-0.19950266128140215</x:v>
      </x:c>
      <x:c r="O40" s="54">
        <x:f t="shared" si="28"/>
        <x:v>5.1013295168063855E-2</x:v>
      </x:c>
      <x:c r="P40" s="55">
        <x:f t="shared" si="29"/>
        <x:v>-5.5511151231257827E-17</x:v>
      </x:c>
      <x:c r="R40" s="47">
        <x:v>43008</x:v>
      </x:c>
      <x:c r="S40" s="50">
        <x:v>49566857.25</x:v>
      </x:c>
      <x:c r="T40" s="54" t="n">
        <x:f t="shared" ref="T40:T71" si="32">LN(S40/1000000000)</x:f>
        <x:v>-3.004432869201617</x:v>
      </x:c>
      <x:c r="U40" s="54">
        <x:f t="shared" si="9"/>
        <x:v>-0.19207573472879202</x:v>
      </x:c>
      <x:c r="V40" s="54">
        <x:f t="shared" si="20"/>
        <x:v>-0.74285227250604591</x:v>
      </x:c>
      <x:c r="W40" s="54">
        <x:f t="shared" si="10"/>
        <x:v>-0.20424838472879203</x:v>
      </x:c>
      <x:c r="X40" s="55">
        <x:f t="shared" si="21"/>
        <x:v>0</x:v>
      </x:c>
      <x:c r="Y40" s="47">
        <x:v>43008</x:v>
      </x:c>
      <x:c r="Z40" s="50">
        <x:v>66844828828.625298</x:v>
      </x:c>
      <x:c r="AA40" s="54" t="n">
        <x:f t="shared" ref="AA40:AA71" si="33">LN(Z40)</x:f>
        <x:v>24.925639782657527</x:v>
      </x:c>
      <x:c r="AB40" s="54">
        <x:f t="shared" si="11"/>
        <x:v>6.4387998096531618E-2</x:v>
      </x:c>
      <x:c r="AC40" s="54">
        <x:f t="shared" si="22"/>
        <x:v>4.9722325439953613E-2</x:v>
      </x:c>
      <x:c r="AD40" s="54">
        <x:f t="shared" si="23"/>
        <x:v>3.3042682679531615E-2</x:v>
      </x:c>
      <x:c r="AE40" s="55"/>
      <x:c r="AF40" s="47">
        <x:v>43008</x:v>
      </x:c>
      <x:c r="AG40" s="50">
        <x:v>24585738400.094799</x:v>
      </x:c>
      <x:c r="AH40" s="54" t="n">
        <x:f t="shared" ref="AH40:AH71" si="34">LN(AG40)</x:f>
        <x:v>23.925432371937067</x:v>
      </x:c>
      <x:c r="AI40" s="54">
        <x:f t="shared" si="12"/>
        <x:v>6.1203942690177371E-2</x:v>
      </x:c>
      <x:c r="AJ40" s="54">
        <x:f t="shared" si="26"/>
        <x:v>2.9558773818101274E-2</x:v>
      </x:c>
      <x:c r="AK40" s="54">
        <x:f t="shared" si="14"/>
        <x:v>5.8129942690177377E-2</x:v>
      </x:c>
      <x:c r="AL40" s="55" t="n">
        <x:f t="shared" ref="AL40:AL71" si="35">AH40-23.8796638369464-$AH$6*(ROW()-7)</x:f>
        <x:v>-0.055673465009332415</x:v>
      </x:c>
      <x:c r="AM40" s="47">
        <x:v>43008</x:v>
      </x:c>
      <x:c r="AN40" s="50">
        <x:v>216083197795.73999</x:v>
      </x:c>
      <x:c r="AO40" s="54" t="n">
        <x:f t="shared" ref="AO40:AO71" si="36">LN(AN40)</x:f>
        <x:v>26.098929345450014</x:v>
      </x:c>
      <x:c r="AP40" s="54">
        <x:f t="shared" si="15"/>
        <x:v>1.300597214344279E-2</x:v>
      </x:c>
      <x:c r="AQ40" s="54">
        <x:f t="shared" si="24"/>
        <x:v>1.041265461714869E-2</x:v>
      </x:c>
      <x:c r="AR40" s="55">
        <x:f t="shared" si="25"/>
        <x:v>1.258688765044279E-2</x:v>
      </x:c>
    </x:row>
    <x:row r="41">
      <x:c r="B41" s="47">
        <x:v>43039</x:v>
      </x:c>
      <x:c r="C41" s="50">
        <x:v>51356637928.496101</x:v>
      </x:c>
      <x:c r="D41" s="54">
        <x:f t="shared" si="30"/>
        <x:v>24.662060033291691</x:v>
      </x:c>
      <x:c r="E41" s="54" t="n">
        <x:f t="shared" ref="E41:E72" si="37">D41-D40</x:f>
        <x:v>-0.23141392009516437</x:v>
      </x:c>
      <x:c r="F41" s="54">
        <x:f t="shared" si="18"/>
        <x:v>-0.31162105524253564</x:v>
      </x:c>
      <x:c r="G41" s="54">
        <x:f t="shared" si="19"/>
        <x:v>-0.24422492009516439</x:v>
      </x:c>
      <x:c r="H41" s="55"/>
      <x:c r="J41" s="47">
        <x:v>43039</x:v>
      </x:c>
      <x:c r="K41" s="50">
        <x:v>1284728644.6939001</x:v>
      </x:c>
      <x:c r="L41" s="54">
        <x:f t="shared" si="31"/>
        <x:v>0.25054752460291851</x:v>
      </x:c>
      <x:c r="M41" s="54" t="n">
        <x:f t="shared" ref="M41:M72" si="38">L41-L40</x:f>
        <x:v>0.0021765939099100684</x:v>
      </x:c>
      <x:c r="N41" s="54">
        <x:f t="shared" si="27"/>
        <x:v>-0.23593870120791616</x:v>
      </x:c>
      <x:c r="O41" s="54">
        <x:f t="shared" si="28"/>
        <x:v>2.1765939099100684E-3</x:v>
      </x:c>
      <x:c r="P41" s="55">
        <x:f t="shared" si="29"/>
        <x:v>0</x:v>
      </x:c>
      <x:c r="R41" s="47">
        <x:v>43039</x:v>
      </x:c>
      <x:c r="S41" s="50">
        <x:v>57173087.25</x:v>
      </x:c>
      <x:c r="T41" s="54">
        <x:f t="shared" si="32"/>
        <x:v>-2.8616719939398525</x:v>
      </x:c>
      <x:c r="U41" s="54" t="n">
        <x:f t="shared" ref="U41:U72" si="39">T41-T40</x:f>
        <x:v>0.1427608752617644</x:v>
      </x:c>
      <x:c r="V41" s="54">
        <x:f t="shared" si="20"/>
        <x:v>-0.55991793537224588</x:v>
      </x:c>
      <x:c r="W41" s="54" t="n">
        <x:f t="shared" ref="W41:W72" si="40">U41-$T$6</x:f>
        <x:v>0.1305882252617644</x:v>
      </x:c>
      <x:c r="X41" s="55">
        <x:f t="shared" si="21"/>
        <x:v>0</x:v>
      </x:c>
      <x:c r="Y41" s="47">
        <x:v>43039</x:v>
      </x:c>
      <x:c r="Z41" s="50">
        <x:v>67445534215.025803</x:v>
      </x:c>
      <x:c r="AA41" s="54">
        <x:f t="shared" si="33"/>
        <x:v>24.934586208587309</x:v>
      </x:c>
      <x:c r="AB41" s="54" t="n">
        <x:f t="shared" ref="AB41:AB72" si="41">AA41-AA40</x:f>
        <x:v>0.00894642592978201</x:v>
      </x:c>
      <x:c r="AC41" s="54">
        <x:f t="shared" si="22"/>
        <x:v>2.8457662512436331E-2</x:v>
      </x:c>
      <x:c r="AD41" s="54">
        <x:f t="shared" si="23"/>
        <x:v>-2.2398889487217986E-2</x:v>
      </x:c>
      <x:c r="AE41" s="55"/>
      <x:c r="AF41" s="47">
        <x:v>43039</x:v>
      </x:c>
      <x:c r="AG41" s="50">
        <x:v>25056776831.6483</x:v>
      </x:c>
      <x:c r="AH41" s="54">
        <x:f t="shared" si="34"/>
        <x:v>23.944410160091575</x:v>
      </x:c>
      <x:c r="AI41" s="54" t="n">
        <x:f t="shared" ref="AI41:AI72" si="42">AH41-AH40</x:f>
        <x:v>0.018977788154508346</x:v>
      </x:c>
      <x:c r="AJ41" s="54">
        <x:f t="shared" si="26"/>
        <x:v>4.8769222005292249E-3</x:v>
      </x:c>
      <x:c r="AK41" s="54" t="n">
        <x:f t="shared" ref="AK41:AK72" si="43">AL41-AL40</x:f>
        <x:v>0.01590378815450834</x:v>
      </x:c>
      <x:c r="AL41" s="55">
        <x:f t="shared" si="35"/>
        <x:v>-3.9769676854824076E-2</x:v>
      </x:c>
      <x:c r="AM41" s="47">
        <x:v>43039</x:v>
      </x:c>
      <x:c r="AN41" s="50">
        <x:v>214714245425.22998</x:v>
      </x:c>
      <x:c r="AO41" s="54">
        <x:f t="shared" si="36"/>
        <x:v>26.092573890003742</x:v>
      </x:c>
      <x:c r="AP41" s="54" t="n">
        <x:f t="shared" ref="AP41:AP72" si="44">AO41-AO40</x:f>
        <x:v>-0.006355455446271918</x:v>
      </x:c>
      <x:c r="AQ41" s="54">
        <x:f t="shared" si="24"/>
        <x:v>-7.9094149103196773E-3</x:v>
      </x:c>
      <x:c r="AR41" s="55">
        <x:f t="shared" si="25"/>
        <x:v>-6.7745399392719185E-3</x:v>
      </x:c>
    </x:row>
    <x:row r="42">
      <x:c r="B42" s="47">
        <x:v>43069</x:v>
      </x:c>
      <x:c r="C42" s="50">
        <x:v>55650146690.465004</x:v>
      </x:c>
      <x:c r="D42" s="54">
        <x:f t="shared" si="30"/>
        <x:v>24.74235055061175</x:v>
      </x:c>
      <x:c r="E42" s="54">
        <x:f t="shared" si="37"/>
        <x:v>8.0290517320058541E-2</x:v>
      </x:c>
      <x:c r="F42" s="54" t="n">
        <x:f t="shared" ref="F42:F73" si="45">E42-$D$6-$E$6*F41-$F$6*F40</x:f>
        <x:v>-0.08771384226338799</x:v>
      </x:c>
      <x:c r="G42" s="54" t="n">
        <x:f t="shared" ref="G42:G73" si="46">F42+$E$6*F41+$F$6*F40</x:f>
        <x:v>0.06747951732005854</x:v>
      </x:c>
      <x:c r="H42" s="55"/>
      <x:c r="J42" s="47">
        <x:v>43069</x:v>
      </x:c>
      <x:c r="K42" s="50">
        <x:v>542107149.80929995</x:v>
      </x:c>
      <x:c r="L42" s="54">
        <x:f t="shared" si="31"/>
        <x:v>-0.61229160370615887</x:v>
      </x:c>
      <x:c r="M42" s="54">
        <x:f t="shared" si="38"/>
        <x:v>-0.86283912830907739</x:v>
      </x:c>
      <x:c r="N42" s="54">
        <x:f t="shared" si="27"/>
        <x:v>-0.85544795471924551</x:v>
      </x:c>
      <x:c r="O42" s="54">
        <x:f t="shared" si="28"/>
        <x:v>-0.8628391283090775</x:v>
      </x:c>
      <x:c r="P42" s="55">
        <x:f t="shared" si="29"/>
        <x:v>0</x:v>
      </x:c>
      <x:c r="R42" s="47">
        <x:v>43069</x:v>
      </x:c>
      <x:c r="S42" s="50">
        <x:v>99652068.25</x:v>
      </x:c>
      <x:c r="T42" s="54">
        <x:f t="shared" si="32"/>
        <x:v>-2.3060704773957177</x:v>
      </x:c>
      <x:c r="U42" s="54">
        <x:f t="shared" si="39"/>
        <x:v>0.55560151654413481</x:v>
      </x:c>
      <x:c r="V42" s="54" t="n">
        <x:f t="shared" ref="V42:V73" si="47">U42-$T$6-$U$6*U41+V41</x:f>
        <x:v>-0.05539547602188688</x:v>
      </x:c>
      <x:c r="W42" s="54">
        <x:f t="shared" si="40"/>
        <x:v>0.5434288665441348</x:v>
      </x:c>
      <x:c r="X42" s="55" t="n">
        <x:f t="shared" ref="X42:X73" si="48">U42-($T$6+$U$6*U41+V42-V41)</x:f>
        <x:v>0</x:v>
      </x:c>
      <x:c r="Y42" s="47">
        <x:v>43069</x:v>
      </x:c>
      <x:c r="Z42" s="50">
        <x:v>62981610509.852699</x:v>
      </x:c>
      <x:c r="AA42" s="54">
        <x:f t="shared" si="33"/>
        <x:v>24.866108624058814</x:v>
      </x:c>
      <x:c r="AB42" s="54">
        <x:f t="shared" si="41"/>
        <x:v>-6.8477584528494617E-2</x:v>
      </x:c>
      <x:c r="AC42" s="54">
        <x:f t="shared" si="22"/>
        <x:v>-6.4402680613711238E-2</x:v>
      </x:c>
      <x:c r="AD42" s="54">
        <x:f t="shared" si="23"/>
        <x:v>-9.9822899945494606E-2</x:v>
      </x:c>
      <x:c r="AE42" s="55"/>
      <x:c r="AF42" s="47">
        <x:v>43069</x:v>
      </x:c>
      <x:c r="AG42" s="50">
        <x:v>25496729008.355301</x:v>
      </x:c>
      <x:c r="AH42" s="54">
        <x:f t="shared" si="34"/>
        <x:v>23.961816006700811</x:v>
      </x:c>
      <x:c r="AI42" s="54">
        <x:f t="shared" si="42"/>
        <x:v>1.7405846609236164E-2</x:v>
      </x:c>
      <x:c r="AJ42" s="54">
        <x:f t="shared" si="26"/>
        <x:v>8.8524624871038071E-3</x:v>
      </x:c>
      <x:c r="AK42" s="54">
        <x:f t="shared" si="43"/>
        <x:v>1.4331846609236171E-2</x:v>
      </x:c>
      <x:c r="AL42" s="55">
        <x:f t="shared" si="35"/>
        <x:v>-2.5437830245587906E-2</x:v>
      </x:c>
      <x:c r="AM42" s="47">
        <x:v>43069</x:v>
      </x:c>
      <x:c r="AN42" s="50">
        <x:v>215551805070.45499</x:v>
      </x:c>
      <x:c r="AO42" s="54">
        <x:f t="shared" si="36"/>
        <x:v>26.096467112358514</x:v>
      </x:c>
      <x:c r="AP42" s="54">
        <x:f t="shared" si="44"/>
        <x:v>3.8932223547725187E-3</x:v>
      </x:c>
      <x:c r="AQ42" s="54">
        <x:f t="shared" si="24"/>
        <x:v>3.9892543297355421E-4</x:v>
      </x:c>
      <x:c r="AR42" s="55">
        <x:f t="shared" si="25"/>
        <x:v>3.4741378617725188E-3</x:v>
      </x:c>
    </x:row>
    <x:row r="43">
      <x:c r="B43" s="47">
        <x:v>43100</x:v>
      </x:c>
      <x:c r="C43" s="50">
        <x:v>81115668625.861404</x:v>
      </x:c>
      <x:c r="D43" s="54">
        <x:f t="shared" si="30"/>
        <x:v>25.119141980712129</x:v>
      </x:c>
      <x:c r="E43" s="54">
        <x:f t="shared" si="37"/>
        <x:v>0.37679143010037919</x:v>
      </x:c>
      <x:c r="F43" s="54">
        <x:f t="shared" si="45"/>
        <x:v>0.26636030703790881</x:v>
      </x:c>
      <x:c r="G43" s="54">
        <x:f t="shared" si="46"/>
        <x:v>0.36398043010037917</x:v>
      </x:c>
      <x:c r="H43" s="55"/>
      <x:c r="J43" s="47">
        <x:v>43100</x:v>
      </x:c>
      <x:c r="K43" s="50">
        <x:v>602356298.32739997</x:v>
      </x:c>
      <x:c r="L43" s="54">
        <x:f t="shared" si="31"/>
        <x:v>-0.50690615106528802</x:v>
      </x:c>
      <x:c r="M43" s="54">
        <x:f t="shared" si="38"/>
        <x:v>0.10538545264087085</x:v>
      </x:c>
      <x:c r="N43" s="54">
        <x:f t="shared" si="27"/>
        <x:v>-0.23968123456590684</x:v>
      </x:c>
      <x:c r="O43" s="54">
        <x:f t="shared" si="28"/>
        <x:v>0.10538545264087096</x:v>
      </x:c>
      <x:c r="P43" s="55">
        <x:f t="shared" si="29"/>
        <x:v>-1.1102230246251565E-16</x:v>
      </x:c>
      <x:c r="R43" s="47">
        <x:v>43100</x:v>
      </x:c>
      <x:c r="S43" s="50">
        <x:v>44523349.75</x:v>
      </x:c>
      <x:c r="T43" s="54">
        <x:f t="shared" si="32"/>
        <x:v>-3.1117415139407796</x:v>
      </x:c>
      <x:c r="U43" s="54">
        <x:f t="shared" si="39"/>
        <x:v>-0.80567103654506189</x:v>
      </x:c>
      <x:c r="V43" s="54">
        <x:f t="shared" si="47"/>
        <x:v>-1.024656410468447</x:v>
      </x:c>
      <x:c r="W43" s="54">
        <x:f t="shared" si="40"/>
        <x:v>-0.8178436865450619</x:v>
      </x:c>
      <x:c r="X43" s="55">
        <x:f t="shared" si="48"/>
        <x:v>0</x:v>
      </x:c>
      <x:c r="Y43" s="47">
        <x:v>43100</x:v>
      </x:c>
      <x:c r="Z43" s="50">
        <x:v>67649607997.334702</x:v>
      </x:c>
      <x:c r="AA43" s="54">
        <x:f t="shared" si="33"/>
        <x:v>24.93760739697635</x:v>
      </x:c>
      <x:c r="AB43" s="54">
        <x:f t="shared" si="41"/>
        <x:v>7.1498772917536257E-2</x:v>
      </x:c>
      <x:c r="AC43" s="54" t="n">
        <x:f t="shared" ref="AC43:AC74" si="49">AB43-$AC$4-$AA$6*AB42-$AB$6*AB41-$AC$6*AC42-$AD$6*AC41-$AE$6*AC40</x:f>
        <x:v>0.0261659855652199</x:v>
      </x:c>
      <x:c r="AD43" s="54" t="n">
        <x:f t="shared" ref="AD43:AD74" si="50">$AA$6*AB42+$AB$6*AB41+AC43+$AC$6*AC42+$AD$6*AC41+$AE$6*AC40</x:f>
        <x:v>0.04015345750053627</x:v>
      </x:c>
      <x:c r="AE43" s="55"/>
      <x:c r="AF43" s="47">
        <x:v>43100</x:v>
      </x:c>
      <x:c r="AG43" s="50">
        <x:v>23206172822.065399</x:v>
      </x:c>
      <x:c r="AH43" s="54">
        <x:f t="shared" si="34"/>
        <x:v>23.867684150144964</x:v>
      </x:c>
      <x:c r="AI43" s="54">
        <x:f t="shared" si="42"/>
        <x:v>-9.4131856555847548E-2</x:v>
      </x:c>
      <x:c r="AJ43" s="54">
        <x:f t="shared" si="26"/>
        <x:v>-5.5077428918021185E-2</x:v>
      </x:c>
      <x:c r="AK43" s="54">
        <x:f t="shared" si="43"/>
        <x:v>-9.7205856555847556E-2</x:v>
      </x:c>
      <x:c r="AL43" s="55">
        <x:f t="shared" si="35"/>
        <x:v>-0.12264368680143546</x:v>
      </x:c>
      <x:c r="AM43" s="47">
        <x:v>43100</x:v>
      </x:c>
      <x:c r="AN43" s="50">
        <x:v>221801576673.95499</x:v>
      </x:c>
      <x:c r="AO43" s="54">
        <x:f t="shared" si="36"/>
        <x:v>26.125049020376434</x:v>
      </x:c>
      <x:c r="AP43" s="54">
        <x:f t="shared" si="44"/>
        <x:v>2.8581908017919488E-2</x:v>
      </x:c>
      <x:c r="AQ43" s="54">
        <x:f t="shared" si="24"/>
        <x:v>1.3727598036475316E-2</x:v>
      </x:c>
      <x:c r="AR43" s="55">
        <x:f t="shared" si="25"/>
        <x:v>2.816282352491949E-2</x:v>
      </x:c>
    </x:row>
    <x:row r="44">
      <x:c r="B44" s="47">
        <x:v>43131</x:v>
      </x:c>
      <x:c r="C44" s="50">
        <x:v>78180859068.637405</x:v>
      </x:c>
      <x:c r="D44" s="54">
        <x:f t="shared" si="30"/>
        <x:v>25.082290685593613</x:v>
      </x:c>
      <x:c r="E44" s="54">
        <x:f t="shared" si="37"/>
        <x:v>-3.6851295118516703E-2</x:v>
      </x:c>
      <x:c r="F44" s="54">
        <x:f t="shared" si="45"/>
        <x:v>3.3249586070842913E-2</x:v>
      </x:c>
      <x:c r="G44" s="54">
        <x:f t="shared" si="46"/>
        <x:v>-4.9662295118516706E-2</x:v>
      </x:c>
      <x:c r="H44" s="55"/>
      <x:c r="J44" s="47">
        <x:v>43131</x:v>
      </x:c>
      <x:c r="K44" s="50">
        <x:v>652095227.31900001</x:v>
      </x:c>
      <x:c r="L44" s="54">
        <x:f t="shared" si="31"/>
        <x:v>-0.42756467355011052</x:v>
      </x:c>
      <x:c r="M44" s="54">
        <x:f t="shared" si="38"/>
        <x:v>7.9341477515177505E-2</x:v>
      </x:c>
      <x:c r="N44" s="54">
        <x:f t="shared" si="27"/>
        <x:v>-0.28090753420335118</x:v>
      </x:c>
      <x:c r="O44" s="54">
        <x:f t="shared" si="28"/>
        <x:v>7.9341477515177505E-2</x:v>
      </x:c>
      <x:c r="P44" s="55">
        <x:f t="shared" si="29"/>
        <x:v>0</x:v>
      </x:c>
      <x:c r="R44" s="47">
        <x:v>43131</x:v>
      </x:c>
      <x:c r="S44" s="50">
        <x:v>115769755.75</x:v>
      </x:c>
      <x:c r="T44" s="54">
        <x:f t="shared" si="32"/>
        <x:v>-2.1561519245533716</x:v>
      </x:c>
      <x:c r="U44" s="54">
        <x:f t="shared" si="39"/>
        <x:v>0.95558958938740801</x:v>
      </x:c>
      <x:c r="V44" s="54">
        <x:f t="shared" si="47"/>
        <x:v>0.13832884800203193</x:v>
      </x:c>
      <x:c r="W44" s="54">
        <x:f t="shared" si="40"/>
        <x:v>0.943416939387408</x:v>
      </x:c>
      <x:c r="X44" s="55">
        <x:f t="shared" si="48"/>
        <x:v>0</x:v>
      </x:c>
      <x:c r="Y44" s="47">
        <x:v>43131</x:v>
      </x:c>
      <x:c r="Z44" s="50">
        <x:v>67176695645.905304</x:v>
      </x:c>
      <x:c r="AA44" s="54">
        <x:f t="shared" si="33"/>
        <x:v>24.930592233346065</x:v>
      </x:c>
      <x:c r="AB44" s="54">
        <x:f t="shared" si="41"/>
        <x:v>-7.0151636302853149E-3</x:v>
      </x:c>
      <x:c r="AC44" s="54">
        <x:f t="shared" si="49"/>
        <x:v>-2.8569156500566489E-3</x:v>
      </x:c>
      <x:c r="AD44" s="54">
        <x:f t="shared" si="50"/>
        <x:v>-3.836047904728531E-2</x:v>
      </x:c>
      <x:c r="AE44" s="55"/>
      <x:c r="AF44" s="47">
        <x:v>43131</x:v>
      </x:c>
      <x:c r="AG44" s="50">
        <x:v>24340185011.556099</x:v>
      </x:c>
      <x:c r="AH44" s="54">
        <x:f t="shared" si="34"/>
        <x:v>23.915394525609035</x:v>
      </x:c>
      <x:c r="AI44" s="54">
        <x:f t="shared" si="42"/>
        <x:v>4.7710375464070864E-2</x:v>
      </x:c>
      <x:c r="AJ44" s="54">
        <x:f t="shared" si="26"/>
        <x:v>2.7950948025544445E-2</x:v>
      </x:c>
      <x:c r="AK44" s="54">
        <x:f t="shared" si="43"/>
        <x:v>4.4636375464070871E-2</x:v>
      </x:c>
      <x:c r="AL44" s="55">
        <x:f t="shared" si="35"/>
        <x:v>-7.800731133736459E-2</x:v>
      </x:c>
      <x:c r="AM44" s="47">
        <x:v>43131</x:v>
      </x:c>
      <x:c r="AN44" s="50">
        <x:v>225760397846.70499</x:v>
      </x:c>
      <x:c r="AO44" s="54">
        <x:f t="shared" si="36"/>
        <x:v>26.142740087304436</x:v>
      </x:c>
      <x:c r="AP44" s="54">
        <x:f t="shared" si="44"/>
        <x:v>1.7691066928001931E-2</x:v>
      </x:c>
      <x:c r="AQ44" s="54">
        <x:f t="shared" si="24"/>
        <x:v>1.3638203804847957E-2</x:v>
      </x:c>
      <x:c r="AR44" s="55">
        <x:f t="shared" si="25"/>
        <x:v>1.7271982435001932E-2</x:v>
      </x:c>
    </x:row>
    <x:row r="45">
      <x:c r="B45" s="47">
        <x:v>43159</x:v>
      </x:c>
      <x:c r="C45" s="50">
        <x:v>63470611952.7631</x:v>
      </x:c>
      <x:c r="D45" s="54">
        <x:f t="shared" si="30"/>
        <x:v>24.873842831824788</x:v>
      </x:c>
      <x:c r="E45" s="54">
        <x:f t="shared" si="37"/>
        <x:v>-0.20844785376882413</x:v>
      </x:c>
      <x:c r="F45" s="54">
        <x:f t="shared" si="45"/>
        <x:v>-0.1536426495888113</x:v>
      </x:c>
      <x:c r="G45" s="54">
        <x:f t="shared" si="46"/>
        <x:v>-0.22125885376882412</x:v>
      </x:c>
      <x:c r="H45" s="55"/>
      <x:c r="J45" s="47">
        <x:v>43159</x:v>
      </x:c>
      <x:c r="K45" s="50">
        <x:v>650914982.30299997</x:v>
      </x:c>
      <x:c r="L45" s="54">
        <x:f t="shared" si="31"/>
        <x:v>-0.42937624084261466</x:v>
      </x:c>
      <x:c r="M45" s="54">
        <x:f t="shared" si="38"/>
        <x:v>-1.8115672925041459E-3</x:v>
      </x:c>
      <x:c r="N45" s="54">
        <x:f t="shared" si="27"/>
        <x:v>-0.32749820241958094</x:v>
      </x:c>
      <x:c r="O45" s="54">
        <x:f t="shared" si="28"/>
        <x:v>-1.8115672925041459E-3</x:v>
      </x:c>
      <x:c r="P45" s="55">
        <x:f t="shared" si="29"/>
        <x:v>0</x:v>
      </x:c>
      <x:c r="R45" s="47">
        <x:v>43159</x:v>
      </x:c>
      <x:c r="S45" s="50">
        <x:v>123694165.75</x:v>
      </x:c>
      <x:c r="T45" s="54">
        <x:f t="shared" si="32"/>
        <x:v>-2.0899431652068889</x:v>
      </x:c>
      <x:c r="U45" s="54">
        <x:f t="shared" si="39"/>
        <x:v>6.6208759346482626E-2</x:v>
      </x:c>
      <x:c r="V45" s="54">
        <x:f t="shared" si="47"/>
        <x:v>-6.8060440062851668E-2</x:v>
      </x:c>
      <x:c r="W45" s="54">
        <x:f t="shared" si="40"/>
        <x:v>5.4036109346482626E-2</x:v>
      </x:c>
      <x:c r="X45" s="55">
        <x:f t="shared" si="48"/>
        <x:v>0</x:v>
      </x:c>
      <x:c r="Y45" s="47">
        <x:v>43159</x:v>
      </x:c>
      <x:c r="Z45" s="50">
        <x:v>67719164605.069702</x:v>
      </x:c>
      <x:c r="AA45" s="54">
        <x:f t="shared" si="33"/>
        <x:v>24.938635058120337</x:v>
      </x:c>
      <x:c r="AB45" s="54">
        <x:f t="shared" si="41"/>
        <x:v>8.0428247742716508E-3</x:v>
      </x:c>
      <x:c r="AC45" s="54">
        <x:f t="shared" si="49"/>
        <x:v>-1.9168918648253531E-2</x:v>
      </x:c>
      <x:c r="AD45" s="54">
        <x:f t="shared" si="50"/>
        <x:v>-2.3302490642728338E-2</x:v>
      </x:c>
      <x:c r="AE45" s="55"/>
      <x:c r="AF45" s="47">
        <x:v>43159</x:v>
      </x:c>
      <x:c r="AG45" s="50">
        <x:v>25302890619.4636</x:v>
      </x:c>
      <x:c r="AH45" s="54">
        <x:f t="shared" si="34"/>
        <x:v>23.954184479887164</x:v>
      </x:c>
      <x:c r="AI45" s="54">
        <x:f t="shared" si="42"/>
        <x:v>3.8789954278129812E-2</x:v>
      </x:c>
      <x:c r="AJ45" s="54">
        <x:f t="shared" si="26"/>
        <x:v>1.4494803039305134E-2</x:v>
      </x:c>
      <x:c r="AK45" s="54">
        <x:f t="shared" si="43"/>
        <x:v>3.5715954278129805E-2</x:v>
      </x:c>
      <x:c r="AL45" s="55">
        <x:f t="shared" si="35"/>
        <x:v>-4.2291357059234785E-2</x:v>
      </x:c>
      <x:c r="AM45" s="47">
        <x:v>43159</x:v>
      </x:c>
      <x:c r="AN45" s="50">
        <x:v>226801486768.26498</x:v>
      </x:c>
      <x:c r="AO45" s="54">
        <x:f t="shared" si="36"/>
        <x:v>26.147340964194154</x:v>
      </x:c>
      <x:c r="AP45" s="54">
        <x:f t="shared" si="44"/>
        <x:v>4.6008768897181085E-3</x:v>
      </x:c>
      <x:c r="AQ45" s="54">
        <x:f t="shared" si="24"/>
        <x:v>5.5020744228285023E-3</x:v>
      </x:c>
      <x:c r="AR45" s="55">
        <x:f t="shared" si="25"/>
        <x:v>4.181792396718109E-3</x:v>
      </x:c>
    </x:row>
    <x:row r="46">
      <x:c r="B46" s="47">
        <x:v>43190</x:v>
      </x:c>
      <x:c r="C46" s="50">
        <x:v>65305119075.6008</x:v>
      </x:c>
      <x:c r="D46" s="54">
        <x:f t="shared" si="30"/>
        <x:v>24.902336263350708</x:v>
      </x:c>
      <x:c r="E46" s="54">
        <x:f t="shared" si="37"/>
        <x:v>2.8493431525919988E-2</x:v>
      </x:c>
      <x:c r="F46" s="54">
        <x:f t="shared" si="45"/>
        <x:v>-3.5725033982042395E-2</x:v>
      </x:c>
      <x:c r="G46" s="54">
        <x:f t="shared" si="46"/>
        <x:v>1.5682431525919981E-2</x:v>
      </x:c>
      <x:c r="H46" s="55"/>
      <x:c r="J46" s="47">
        <x:v>43190</x:v>
      </x:c>
      <x:c r="K46" s="50">
        <x:v>125547845.5</x:v>
      </x:c>
      <x:c r="L46" s="54">
        <x:f t="shared" si="31"/>
        <x:v>-2.0750683540196131</x:v>
      </x:c>
      <x:c r="M46" s="54">
        <x:f t="shared" si="38"/>
        <x:v>-1.6456921131769984</x:v>
      </x:c>
      <x:c r="N46" s="54">
        <x:f t="shared" si="27"/>
        <x:v>-1.9588116932899404</x:v>
      </x:c>
      <x:c r="O46" s="54">
        <x:f t="shared" si="28"/>
        <x:v>-1.6456921131769979</x:v>
      </x:c>
      <x:c r="P46" s="55">
        <x:f t="shared" si="29"/>
        <x:v>0</x:v>
      </x:c>
      <x:c r="R46" s="47">
        <x:v>43190</x:v>
      </x:c>
      <x:c r="S46" s="50">
        <x:v>178898346.75</x:v>
      </x:c>
      <x:c r="T46" s="54">
        <x:f t="shared" si="32"/>
        <x:v>-1.7209375297063627</x:v>
      </x:c>
      <x:c r="U46" s="54">
        <x:f t="shared" si="39"/>
        <x:v>0.36900563550052623</x:v>
      </x:c>
      <x:c r="V46" s="54">
        <x:f t="shared" si="47"/>
        <x:v>0.27072877156611669</x:v>
      </x:c>
      <x:c r="W46" s="54">
        <x:f t="shared" si="40"/>
        <x:v>0.35683298550052622</x:v>
      </x:c>
      <x:c r="X46" s="55">
        <x:f t="shared" si="48"/>
        <x:v>0</x:v>
      </x:c>
      <x:c r="Y46" s="47">
        <x:v>43190</x:v>
      </x:c>
      <x:c r="Z46" s="50">
        <x:v>70073534728.977509</x:v>
      </x:c>
      <x:c r="AA46" s="54">
        <x:f t="shared" si="33"/>
        <x:v>24.97281102373908</x:v>
      </x:c>
      <x:c r="AB46" s="54">
        <x:f t="shared" si="41"/>
        <x:v>3.4175965618743476E-2</x:v>
      </x:c>
      <x:c r="AC46" s="54">
        <x:f t="shared" si="49"/>
        <x:v>2.1076806525016058E-2</x:v>
      </x:c>
      <x:c r="AD46" s="54">
        <x:f t="shared" si="50"/>
        <x:v>2.8306502017434818E-3</x:v>
      </x:c>
      <x:c r="AE46" s="55"/>
      <x:c r="AF46" s="47">
        <x:v>43190</x:v>
      </x:c>
      <x:c r="AG46" s="50">
        <x:v>25772226989.773201</x:v>
      </x:c>
      <x:c r="AH46" s="54">
        <x:f t="shared" si="34"/>
        <x:v>23.972563275795896</x:v>
      </x:c>
      <x:c r="AI46" s="54">
        <x:f t="shared" si="42"/>
        <x:v>1.8378795908731149E-2</x:v>
      </x:c>
      <x:c r="AJ46" s="54">
        <x:f t="shared" si="26"/>
        <x:v>-2.2284066049115332E-2</x:v>
      </x:c>
      <x:c r="AK46" s="54">
        <x:f t="shared" si="43"/>
        <x:v>1.5304795908731156E-2</x:v>
      </x:c>
      <x:c r="AL46" s="55">
        <x:f t="shared" si="35"/>
        <x:v>-2.698656115050363E-2</x:v>
      </x:c>
      <x:c r="AM46" s="47">
        <x:v>43190</x:v>
      </x:c>
      <x:c r="AN46" s="50">
        <x:v>227590125788.73999</x:v>
      </x:c>
      <x:c r="AO46" s="54">
        <x:f t="shared" si="36"/>
        <x:v>26.15081215420097</x:v>
      </x:c>
      <x:c r="AP46" s="54">
        <x:f t="shared" si="44"/>
        <x:v>3.4711900068167267E-3</x:v>
      </x:c>
      <x:c r="AQ46" s="54">
        <x:f t="shared" si="24"/>
        <x:v>-1.8456203053115981E-3</x:v>
      </x:c>
      <x:c r="AR46" s="55">
        <x:f t="shared" si="25"/>
        <x:v>3.0521055138167264E-3</x:v>
      </x:c>
    </x:row>
    <x:row r="47">
      <x:c r="B47" s="47">
        <x:v>43220</x:v>
      </x:c>
      <x:c r="C47" s="50">
        <x:v>60768704297.230797</x:v>
      </x:c>
      <x:c r="D47" s="54">
        <x:f t="shared" si="30"/>
        <x:v>24.830340761445122</x:v>
      </x:c>
      <x:c r="E47" s="54">
        <x:f t="shared" si="37"/>
        <x:v>-7.1995501905586679E-2</x:v>
      </x:c>
      <x:c r="F47" s="54">
        <x:f t="shared" si="45"/>
        <x:v>-0.13008461115796635</x:v>
      </x:c>
      <x:c r="G47" s="54">
        <x:f t="shared" si="46"/>
        <x:v>-8.4806501905586681E-2</x:v>
      </x:c>
      <x:c r="H47" s="55"/>
      <x:c r="J47" s="47">
        <x:v>43220</x:v>
      </x:c>
      <x:c r="K47" s="50">
        <x:v>146067415.25</x:v>
      </x:c>
      <x:c r="L47" s="54">
        <x:f t="shared" si="31"/>
        <x:v>-1.9236870155590646</x:v>
      </x:c>
      <x:c r="M47" s="54">
        <x:f t="shared" si="38"/>
        <x:v>0.15138133846054846</x:v>
      </x:c>
      <x:c r="N47" s="54">
        <x:f t="shared" si="27"/>
        <x:v>-0.93917513558439825</x:v>
      </x:c>
      <x:c r="O47" s="54">
        <x:f t="shared" si="28"/>
        <x:v>0.15138133846054846</x:v>
      </x:c>
      <x:c r="P47" s="55">
        <x:f t="shared" si="29"/>
        <x:v>0</x:v>
      </x:c>
      <x:c r="R47" s="47">
        <x:v>43220</x:v>
      </x:c>
      <x:c r="S47" s="50">
        <x:v>203366270.75</x:v>
      </x:c>
      <x:c r="T47" s="54">
        <x:f t="shared" si="32"/>
        <x:v>-1.5927466363063332</x:v>
      </x:c>
      <x:c r="U47" s="54">
        <x:f t="shared" si="39"/>
        <x:v>0.12819089340002954</x:v>
      </x:c>
      <x:c r="V47" s="54">
        <x:f t="shared" si="47"/>
        <x:v>0.28618246263164104</x:v>
      </x:c>
      <x:c r="W47" s="54">
        <x:f t="shared" si="40"/>
        <x:v>0.11601824340002953</x:v>
      </x:c>
      <x:c r="X47" s="55">
        <x:f t="shared" si="48"/>
        <x:v>0</x:v>
      </x:c>
      <x:c r="Y47" s="47">
        <x:v>43220</x:v>
      </x:c>
      <x:c r="Z47" s="50">
        <x:v>69756648086.857605</x:v>
      </x:c>
      <x:c r="AA47" s="54">
        <x:f t="shared" si="33"/>
        <x:v>24.968278566179112</x:v>
      </x:c>
      <x:c r="AB47" s="54">
        <x:f t="shared" si="41"/>
        <x:v>-4.5324575599678951E-3</x:v>
      </x:c>
      <x:c r="AC47" s="54">
        <x:f t="shared" si="49"/>
        <x:v>-1.3155474662451198E-3</x:v>
      </x:c>
      <x:c r="AD47" s="54">
        <x:f t="shared" si="50"/>
        <x:v>-3.5877772976967884E-2</x:v>
      </x:c>
      <x:c r="AE47" s="55"/>
      <x:c r="AF47" s="47">
        <x:v>43220</x:v>
      </x:c>
      <x:c r="AG47" s="50">
        <x:v>27170491459.3353</x:v>
      </x:c>
      <x:c r="AH47" s="54">
        <x:f t="shared" si="34"/>
        <x:v>24.025397348529332</x:v>
      </x:c>
      <x:c r="AI47" s="54">
        <x:f t="shared" si="42"/>
        <x:v>5.2834072733435988E-2</x:v>
      </x:c>
      <x:c r="AJ47" s="54">
        <x:f t="shared" si="26"/>
        <x:v>4.1833016742170194E-2</x:v>
      </x:c>
      <x:c r="AK47" s="54">
        <x:f t="shared" si="43"/>
        <x:v>4.9760072733435981E-2</x:v>
      </x:c>
      <x:c r="AL47" s="55">
        <x:f t="shared" si="35"/>
        <x:v>2.2773511582932351E-2</x:v>
      </x:c>
      <x:c r="AM47" s="47">
        <x:v>43220</x:v>
      </x:c>
      <x:c r="AN47" s="50">
        <x:v>228388047635.53998</x:v>
      </x:c>
      <x:c r="AO47" s="54">
        <x:f t="shared" si="36"/>
        <x:v>26.154311982516315</x:v>
      </x:c>
      <x:c r="AP47" s="54">
        <x:f t="shared" si="44"/>
        <x:v>3.4998283153448995E-3</x:v>
      </x:c>
      <x:c r="AQ47" s="54">
        <x:f t="shared" si="24"/>
        <x:v>2.157319703609533E-3</x:v>
      </x:c>
      <x:c r="AR47" s="55">
        <x:f t="shared" si="25"/>
        <x:v>3.0807438223448991E-3</x:v>
      </x:c>
    </x:row>
    <x:row r="48">
      <x:c r="B48" s="47">
        <x:v>43251</x:v>
      </x:c>
      <x:c r="C48" s="50">
        <x:v>71431398859.0495</x:v>
      </x:c>
      <x:c r="D48" s="54">
        <x:f t="shared" si="30"/>
        <x:v>24.992003369556556</x:v>
      </x:c>
      <x:c r="E48" s="54">
        <x:f t="shared" si="37"/>
        <x:v>0.16166260811143474</x:v>
      </x:c>
      <x:c r="F48" s="54">
        <x:f t="shared" si="45"/>
        <x:v>9.2135517114300486E-2</x:v>
      </x:c>
      <x:c r="G48" s="54">
        <x:f t="shared" si="46"/>
        <x:v>0.14885160811143475</x:v>
      </x:c>
      <x:c r="H48" s="55"/>
      <x:c r="J48" s="47">
        <x:v>43251</x:v>
      </x:c>
      <x:c r="K48" s="50">
        <x:v>84469606.25</x:v>
      </x:c>
      <x:c r="L48" s="54">
        <x:f t="shared" si="31"/>
        <x:v>-2.4713634986718511</x:v>
      </x:c>
      <x:c r="M48" s="54">
        <x:f t="shared" si="38"/>
        <x:v>-0.54767648311278649</x:v>
      </x:c>
      <x:c r="N48" s="54">
        <x:f t="shared" si="27"/>
        <x:v>-1.3165597746137696</x:v>
      </x:c>
      <x:c r="O48" s="54">
        <x:f t="shared" si="28"/>
        <x:v>-0.54767648311278638</x:v>
      </x:c>
      <x:c r="P48" s="55">
        <x:f t="shared" si="29"/>
        <x:v>0</x:v>
      </x:c>
      <x:c r="R48" s="47">
        <x:v>43251</x:v>
      </x:c>
      <x:c r="S48" s="50">
        <x:v>125352773.75</x:v>
      </x:c>
      <x:c r="T48" s="54">
        <x:f t="shared" si="32"/>
        <x:v>-2.0766233265811724</x:v>
      </x:c>
      <x:c r="U48" s="54">
        <x:f t="shared" si="39"/>
        <x:v>-0.48387669027483926</x:v>
      </x:c>
      <x:c r="V48" s="54">
        <x:f t="shared" si="47"/>
        <x:v>-0.24480254953516822</x:v>
      </x:c>
      <x:c r="W48" s="54">
        <x:f t="shared" si="40"/>
        <x:v>-0.49604934027483927</x:v>
      </x:c>
      <x:c r="X48" s="55">
        <x:f t="shared" si="48"/>
        <x:v>0</x:v>
      </x:c>
      <x:c r="Y48" s="47">
        <x:v>43251</x:v>
      </x:c>
      <x:c r="Z48" s="50">
        <x:v>66242898482.809799</x:v>
      </x:c>
      <x:c r="AA48" s="54">
        <x:f t="shared" si="33"/>
        <x:v>24.916594103354889</x:v>
      </x:c>
      <x:c r="AB48" s="54">
        <x:f t="shared" si="41"/>
        <x:v>-5.1684462824223232E-2</x:v>
      </x:c>
      <x:c r="AC48" s="54">
        <x:f t="shared" si="49"/>
        <x:v>-7.9550370938122034E-2</x:v>
      </x:c>
      <x:c r="AD48" s="54">
        <x:f t="shared" si="50"/>
        <x:v>-8.3029778241223207E-2</x:v>
      </x:c>
      <x:c r="AE48" s="55"/>
      <x:c r="AF48" s="47">
        <x:v>43251</x:v>
      </x:c>
      <x:c r="AG48" s="50">
        <x:v>28424218126.498798</x:v>
      </x:c>
      <x:c r="AH48" s="54">
        <x:f t="shared" si="34"/>
        <x:v>24.070507369661122</x:v>
      </x:c>
      <x:c r="AI48" s="54">
        <x:f t="shared" si="42"/>
        <x:v>4.5110021131790745E-2</x:v>
      </x:c>
      <x:c r="AJ48" s="54">
        <x:f t="shared" si="26"/>
        <x:v>3.6282505950104488E-2</x:v>
      </x:c>
      <x:c r="AK48" s="54">
        <x:f t="shared" si="43"/>
        <x:v>4.2036021131790738E-2</x:v>
      </x:c>
      <x:c r="AL48" s="55">
        <x:f t="shared" si="35"/>
        <x:v>6.4809532714723089E-2</x:v>
      </x:c>
      <x:c r="AM48" s="47">
        <x:v>43251</x:v>
      </x:c>
      <x:c r="AN48" s="50">
        <x:v>229767758462</x:v>
      </x:c>
      <x:c r="AO48" s="54">
        <x:f t="shared" si="36"/>
        <x:v>26.160334889915472</x:v>
      </x:c>
      <x:c r="AP48" s="54">
        <x:f t="shared" si="44"/>
        <x:v>6.0229073991564519E-3</x:v>
      </x:c>
      <x:c r="AQ48" s="54">
        <x:f t="shared" si="24"/>
        <x:v>3.317313944719024E-3</x:v>
      </x:c>
      <x:c r="AR48" s="55">
        <x:f t="shared" si="25"/>
        <x:v>5.6038229061564524E-3</x:v>
      </x:c>
    </x:row>
    <x:row r="49">
      <x:c r="B49" s="47">
        <x:v>43281</x:v>
      </x:c>
      <x:c r="C49" s="50">
        <x:v>63203779815.583603</x:v>
      </x:c>
      <x:c r="D49" s="54">
        <x:f t="shared" si="30"/>
        <x:v>24.869629943519445</x:v>
      </x:c>
      <x:c r="E49" s="54">
        <x:f t="shared" si="37"/>
        <x:v>-0.12237342603711099</x:v>
      </x:c>
      <x:c r="F49" s="54">
        <x:f t="shared" si="45"/>
        <x:v>-0.12710255776688015</x:v>
      </x:c>
      <x:c r="G49" s="54">
        <x:f t="shared" si="46"/>
        <x:v>-0.13518442603711098</x:v>
      </x:c>
      <x:c r="H49" s="55"/>
      <x:c r="J49" s="47">
        <x:v>43281</x:v>
      </x:c>
      <x:c r="K49" s="50">
        <x:v>76702720</x:v>
      </x:c>
      <x:c r="L49" s="54">
        <x:f t="shared" si="31"/>
        <x:v>-2.5678181083954756</x:v>
      </x:c>
      <x:c r="M49" s="54">
        <x:f t="shared" si="38"/>
        <x:v>-9.6454609723624518E-2</x:v>
      </x:c>
      <x:c r="N49" s="54">
        <x:f t="shared" si="27"/>
        <x:v>-1.1592004648134921</x:v>
      </x:c>
      <x:c r="O49" s="54">
        <x:f t="shared" si="28"/>
        <x:v>-9.6454609723624518E-2</x:v>
      </x:c>
      <x:c r="P49" s="55">
        <x:f t="shared" si="29"/>
        <x:v>0</x:v>
      </x:c>
      <x:c r="R49" s="47">
        <x:v>43281</x:v>
      </x:c>
      <x:c r="S49" s="50">
        <x:v>142330904.75</x:v>
      </x:c>
      <x:c r="T49" s="54">
        <x:f t="shared" si="32"/>
        <x:v>-1.9496006172135609</x:v>
      </x:c>
      <x:c r="U49" s="54">
        <x:f t="shared" si="39"/>
        <x:v>0.12702270936761151</x:v>
      </x:c>
      <x:c r="V49" s="54">
        <x:f t="shared" si="47"/>
        <x:v>1.9176984180098167E-3</x:v>
      </x:c>
      <x:c r="W49" s="54">
        <x:f t="shared" si="40"/>
        <x:v>0.1148500593676115</x:v>
      </x:c>
      <x:c r="X49" s="55">
        <x:f t="shared" si="48"/>
        <x:v>0</x:v>
      </x:c>
      <x:c r="Y49" s="47">
        <x:v>43281</x:v>
      </x:c>
      <x:c r="Z49" s="50">
        <x:v>68404097170.549797</x:v>
      </x:c>
      <x:c r="AA49" s="54">
        <x:f t="shared" si="33"/>
        <x:v>24.94869855993521</x:v>
      </x:c>
      <x:c r="AB49" s="54">
        <x:f t="shared" si="41"/>
        <x:v>3.2104456580320573E-2</x:v>
      </x:c>
      <x:c r="AC49" s="54">
        <x:f t="shared" si="49"/>
        <x:v>-1.3401937439875701E-2</x:v>
      </x:c>
      <x:c r="AD49" s="54">
        <x:f t="shared" si="50"/>
        <x:v>7.5914116332057718E-4</x:v>
      </x:c>
      <x:c r="AE49" s="55"/>
      <x:c r="AF49" s="47">
        <x:v>43281</x:v>
      </x:c>
      <x:c r="AG49" s="50">
        <x:v>28537298554.046398</x:v>
      </x:c>
      <x:c r="AH49" s="54">
        <x:f t="shared" si="34"/>
        <x:v>24.074477789786481</x:v>
      </x:c>
      <x:c r="AI49" s="54">
        <x:f t="shared" si="42"/>
        <x:v>3.9704201253591975E-3</x:v>
      </x:c>
      <x:c r="AJ49" s="54">
        <x:f t="shared" si="26"/>
        <x:v>4.4141780218655982E-3</x:v>
      </x:c>
      <x:c r="AK49" s="54">
        <x:f t="shared" si="43"/>
        <x:v>8.9642012535920412E-4</x:v>
      </x:c>
      <x:c r="AL49" s="55">
        <x:f t="shared" si="35"/>
        <x:v>6.5705952840082293E-2</x:v>
      </x:c>
      <x:c r="AM49" s="47">
        <x:v>43281</x:v>
      </x:c>
      <x:c r="AN49" s="50">
        <x:v>230495008592</x:v>
      </x:c>
      <x:c r="AO49" s="54">
        <x:f t="shared" si="36"/>
        <x:v>26.163495044450165</x:v>
      </x:c>
      <x:c r="AP49" s="54">
        <x:f t="shared" si="44"/>
        <x:v>3.1601545346937598E-3</x:v>
      </x:c>
      <x:c r="AQ49" s="54">
        <x:f t="shared" si="24"/>
        <x:v>5.2241557235745834E-3</x:v>
      </x:c>
      <x:c r="AR49" s="55">
        <x:f t="shared" si="25"/>
        <x:v>2.7410700416937595E-3</x:v>
      </x:c>
    </x:row>
    <x:row r="50">
      <x:c r="B50" s="47">
        <x:v>43312</x:v>
      </x:c>
      <x:c r="C50" s="50">
        <x:v>82848974102.243805</x:v>
      </x:c>
      <x:c r="D50" s="54">
        <x:f t="shared" si="30"/>
        <x:v>25.14028519815021</x:v>
      </x:c>
      <x:c r="E50" s="54">
        <x:f t="shared" si="37"/>
        <x:v>0.27065525463076412</x:v>
      </x:c>
      <x:c r="F50" s="54">
        <x:f t="shared" si="45"/>
        <x:v>0.22866329865110691</x:v>
      </x:c>
      <x:c r="G50" s="54">
        <x:f t="shared" si="46"/>
        <x:v>0.2578442546307641</x:v>
      </x:c>
      <x:c r="H50" s="55"/>
      <x:c r="J50" s="47">
        <x:v>43312</x:v>
      </x:c>
      <x:c r="K50" s="50">
        <x:v>107539203.25</x:v>
      </x:c>
      <x:c r="L50" s="54">
        <x:f t="shared" si="31"/>
        <x:v>-2.2298998164991684</x:v>
      </x:c>
      <x:c r="M50" s="54">
        <x:f t="shared" si="38"/>
        <x:v>0.33791829189630729</x:v>
      </x:c>
      <x:c r="N50" s="54">
        <x:f t="shared" si="27"/>
        <x:v>-0.51028725623539639</x:v>
      </x:c>
      <x:c r="O50" s="54">
        <x:f t="shared" si="28"/>
        <x:v>0.33791829189630729</x:v>
      </x:c>
      <x:c r="P50" s="55">
        <x:f t="shared" si="29"/>
        <x:v>0</x:v>
      </x:c>
      <x:c r="R50" s="47">
        <x:v>43312</x:v>
      </x:c>
      <x:c r="S50" s="50">
        <x:v>119638926.75</x:v>
      </x:c>
      <x:c r="T50" s="54">
        <x:f t="shared" si="32"/>
        <x:v>-2.1232770159226124</x:v>
      </x:c>
      <x:c r="U50" s="54">
        <x:f t="shared" si="39"/>
        <x:v>-0.17367639870905149</x:v>
      </x:c>
      <x:c r="V50" s="54">
        <x:f t="shared" si="47"/>
        <x:v>-0.21854865874093279</x:v>
      </x:c>
      <x:c r="W50" s="54">
        <x:f t="shared" si="40"/>
        <x:v>-0.1858490487090515</x:v>
      </x:c>
      <x:c r="X50" s="55">
        <x:f t="shared" si="48"/>
        <x:v>0</x:v>
      </x:c>
      <x:c r="Y50" s="47">
        <x:v>43312</x:v>
      </x:c>
      <x:c r="Z50" s="50">
        <x:v>68629646015.065498</x:v>
      </x:c>
      <x:c r="AA50" s="54">
        <x:f t="shared" si="33"/>
        <x:v>24.951990435979042</x:v>
      </x:c>
      <x:c r="AB50" s="54">
        <x:f t="shared" si="41"/>
        <x:v>3.291876043832076E-3</x:v>
      </x:c>
      <x:c r="AC50" s="54">
        <x:f t="shared" si="49"/>
        <x:v>-7.9940647428241012E-3</x:v>
      </x:c>
      <x:c r="AD50" s="54">
        <x:f t="shared" si="50"/>
        <x:v>-2.8053439373167923E-2</x:v>
      </x:c>
      <x:c r="AE50" s="55"/>
      <x:c r="AF50" s="47">
        <x:v>43312</x:v>
      </x:c>
      <x:c r="AG50" s="50">
        <x:v>29040413502.495098</x:v>
      </x:c>
      <x:c r="AH50" s="54">
        <x:f t="shared" si="34"/>
        <x:v>24.091954265868267</x:v>
      </x:c>
      <x:c r="AI50" s="54">
        <x:f t="shared" si="42"/>
        <x:v>1.7476476081785819E-2</x:v>
      </x:c>
      <x:c r="AJ50" s="54">
        <x:f t="shared" si="26"/>
        <x:v>1.8739343617651682E-2</x:v>
      </x:c>
      <x:c r="AK50" s="54">
        <x:f t="shared" si="43"/>
        <x:v>1.4402476081785826E-2</x:v>
      </x:c>
      <x:c r="AL50" s="55">
        <x:f t="shared" si="35"/>
        <x:v>8.0108428921868119E-2</x:v>
      </x:c>
      <x:c r="AM50" s="47">
        <x:v>43312</x:v>
      </x:c>
      <x:c r="AN50" s="50">
        <x:v>233371645968.14499</x:v>
      </x:c>
      <x:c r="AO50" s="54">
        <x:f t="shared" si="36"/>
        <x:v>26.175898066849189</x:v>
      </x:c>
      <x:c r="AP50" s="54">
        <x:f t="shared" si="44"/>
        <x:v>1.2403022399023911E-2</x:v>
      </x:c>
      <x:c r="AQ50" s="54">
        <x:f t="shared" si="24"/>
        <x:v>7.4482209392891154E-3</x:v>
      </x:c>
      <x:c r="AR50" s="55">
        <x:f t="shared" si="25"/>
        <x:v>1.198393790602391E-2</x:v>
      </x:c>
    </x:row>
    <x:row r="51">
      <x:c r="B51" s="47">
        <x:v>43343</x:v>
      </x:c>
      <x:c r="C51" s="50">
        <x:v>93788898558.737</x:v>
      </x:c>
      <x:c r="D51" s="54">
        <x:f t="shared" si="30"/>
        <x:v>25.26431233370214</x:v>
      </x:c>
      <x:c r="E51" s="54">
        <x:f t="shared" si="37"/>
        <x:v>0.12402713555193046</x:v>
      </x:c>
      <x:c r="F51" s="54">
        <x:f t="shared" si="45"/>
        <x:v>0.17169621223085582</x:v>
      </x:c>
      <x:c r="G51" s="54">
        <x:f t="shared" si="46"/>
        <x:v>0.11121613555193047</x:v>
      </x:c>
      <x:c r="H51" s="55"/>
      <x:c r="J51" s="47">
        <x:v>43343</x:v>
      </x:c>
      <x:c r="K51" s="50">
        <x:v>467698897</x:v>
      </x:c>
      <x:c r="L51" s="54">
        <x:f t="shared" si="31"/>
        <x:v>-0.75993057260244667</x:v>
      </x:c>
      <x:c r="M51" s="54">
        <x:f t="shared" si="38"/>
        <x:v>1.4699692438967218</x:v>
      </x:c>
      <x:c r="N51" s="54">
        <x:f t="shared" si="27"/>
        <x:v>0.43094046684223092</x:v>
      </x:c>
      <x:c r="O51" s="54">
        <x:f t="shared" si="28"/>
        <x:v>1.4699692438967218</x:v>
      </x:c>
      <x:c r="P51" s="55">
        <x:f t="shared" si="29"/>
        <x:v>0</x:v>
      </x:c>
      <x:c r="R51" s="47">
        <x:v>43343</x:v>
      </x:c>
      <x:c r="S51" s="50">
        <x:v>106638886.75</x:v>
      </x:c>
      <x:c r="T51" s="54">
        <x:f t="shared" si="32"/>
        <x:v>-2.238307042494756</x:v>
      </x:c>
      <x:c r="U51" s="54">
        <x:f t="shared" si="39"/>
        <x:v>-0.11503002657214356</x:v>
      </x:c>
      <x:c r="V51" s="54">
        <x:f t="shared" si="47"/>
        <x:v>-0.2984195668874966</x:v>
      </x:c>
      <x:c r="W51" s="54">
        <x:f t="shared" si="40"/>
        <x:v>-0.12720267657214357</x:v>
      </x:c>
      <x:c r="X51" s="55">
        <x:f t="shared" si="48"/>
        <x:v>0</x:v>
      </x:c>
      <x:c r="Y51" s="47">
        <x:v>43343</x:v>
      </x:c>
      <x:c r="Z51" s="50">
        <x:v>69784117585.569595</x:v>
      </x:c>
      <x:c r="AA51" s="54">
        <x:f t="shared" si="33"/>
        <x:v>24.968672279069168</x:v>
      </x:c>
      <x:c r="AB51" s="54">
        <x:f t="shared" si="41"/>
        <x:v>1.6681843090125881E-2</x:v>
      </x:c>
      <x:c r="AC51" s="54">
        <x:f t="shared" si="49"/>
        <x:v>-2.448600353270965E-2</x:v>
      </x:c>
      <x:c r="AD51" s="54">
        <x:f t="shared" si="50"/>
        <x:v>-1.4663472326874115E-2</x:v>
      </x:c>
      <x:c r="AE51" s="55"/>
      <x:c r="AF51" s="47">
        <x:v>43343</x:v>
      </x:c>
      <x:c r="AG51" s="50">
        <x:v>25314896186.8652</x:v>
      </x:c>
      <x:c r="AH51" s="54">
        <x:f t="shared" si="34"/>
        <x:v>23.95465884150525</x:v>
      </x:c>
      <x:c r="AI51" s="54">
        <x:f t="shared" si="42"/>
        <x:v>-0.13729542436301756</x:v>
      </x:c>
      <x:c r="AJ51" s="54">
        <x:f t="shared" si="26"/>
        <x:v>-6.4764282424790182E-2</x:v>
      </x:c>
      <x:c r="AK51" s="54">
        <x:f t="shared" si="43"/>
        <x:v>-0.14036942436301755</x:v>
      </x:c>
      <x:c r="AL51" s="55">
        <x:f t="shared" si="35"/>
        <x:v>-6.0260995441149434E-2</x:v>
      </x:c>
      <x:c r="AM51" s="47">
        <x:v>43343</x:v>
      </x:c>
      <x:c r="AN51" s="50">
        <x:v>232571209827.10498</x:v>
      </x:c>
      <x:c r="AO51" s="54">
        <x:f t="shared" si="36"/>
        <x:v>26.172462293906296</x:v>
      </x:c>
      <x:c r="AP51" s="54">
        <x:f t="shared" si="44"/>
        <x:v>-3.4357729428933226E-3</x:v>
      </x:c>
      <x:c r="AQ51" s="54">
        <x:f t="shared" si="24"/>
        <x:v>-2.6405320417385997E-3</x:v>
      </x:c>
      <x:c r="AR51" s="55">
        <x:f t="shared" si="25"/>
        <x:v>-3.8548574358933225E-3</x:v>
      </x:c>
    </x:row>
    <x:row r="52">
      <x:c r="B52" s="47">
        <x:v>43373</x:v>
      </x:c>
      <x:c r="C52" s="50">
        <x:v>106586691905.7182</x:v>
      </x:c>
      <x:c r="D52" s="54">
        <x:f t="shared" si="30"/>
        <x:v>25.392224499475045</x:v>
      </x:c>
      <x:c r="E52" s="54">
        <x:f t="shared" si="37"/>
        <x:v>0.12791216577290498</x:v>
      </x:c>
      <x:c r="F52" s="54">
        <x:f t="shared" si="45"/>
        <x:v>0.22744284865858033</x:v>
      </x:c>
      <x:c r="G52" s="54">
        <x:f t="shared" si="46"/>
        <x:v>0.11510116577290498</x:v>
      </x:c>
      <x:c r="H52" s="55"/>
      <x:c r="J52" s="47">
        <x:v>43373</x:v>
      </x:c>
      <x:c r="K52" s="50">
        <x:v>834891508</x:v>
      </x:c>
      <x:c r="L52" s="54">
        <x:f t="shared" si="31"/>
        <x:v>-0.18045349311190742</x:v>
      </x:c>
      <x:c r="M52" s="54">
        <x:f t="shared" si="38"/>
        <x:v>0.57947707949053928</x:v>
      </x:c>
      <x:c r="N52" s="54">
        <x:f t="shared" si="27"/>
        <x:v>0.27055922173633506</x:v>
      </x:c>
      <x:c r="O52" s="54">
        <x:f t="shared" si="28"/>
        <x:v>0.57947707949053928</x:v>
      </x:c>
      <x:c r="P52" s="55">
        <x:f t="shared" si="29"/>
        <x:v>0</x:v>
      </x:c>
      <x:c r="R52" s="47">
        <x:v>43373</x:v>
      </x:c>
      <x:c r="S52" s="50">
        <x:v>62174580.75</x:v>
      </x:c>
      <x:c r="T52" s="54">
        <x:f t="shared" si="32"/>
        <x:v>-2.7778090323793356</x:v>
      </x:c>
      <x:c r="U52" s="54">
        <x:f t="shared" si="39"/>
        <x:v>-0.53950198988457965</x:v>
      </x:c>
      <x:c r="V52" s="54">
        <x:f t="shared" si="47"/>
        <x:v>-0.81874524617540978</x:v>
      </x:c>
      <x:c r="W52" s="54">
        <x:f t="shared" si="40"/>
        <x:v>-0.55167463988457965</x:v>
      </x:c>
      <x:c r="X52" s="55">
        <x:f t="shared" si="48"/>
        <x:v>0</x:v>
      </x:c>
      <x:c r="Y52" s="47">
        <x:v>43373</x:v>
      </x:c>
      <x:c r="Z52" s="50">
        <x:v>72052251143.886398</x:v>
      </x:c>
      <x:c r="AA52" s="54">
        <x:f t="shared" si="33"/>
        <x:v>25.000657403093811</x:v>
      </x:c>
      <x:c r="AB52" s="54">
        <x:f t="shared" si="41"/>
        <x:v>3.1985124024643596E-2</x:v>
      </x:c>
      <x:c r="AC52" s="54">
        <x:f t="shared" si="49"/>
        <x:v>1.2868019318452769E-2</x:v>
      </x:c>
      <x:c r="AD52" s="54">
        <x:f t="shared" si="50"/>
        <x:v>6.3980860764360423E-4</x:v>
      </x:c>
      <x:c r="AE52" s="55"/>
      <x:c r="AF52" s="47">
        <x:v>43373</x:v>
      </x:c>
      <x:c r="AG52" s="50">
        <x:v>25983475053.508801</x:v>
      </x:c>
      <x:c r="AH52" s="54">
        <x:f t="shared" si="34"/>
        <x:v>23.980726598039521</x:v>
      </x:c>
      <x:c r="AI52" s="54">
        <x:f t="shared" si="42"/>
        <x:v>2.6067756534271069E-2</x:v>
      </x:c>
      <x:c r="AJ52" s="54">
        <x:f t="shared" si="26"/>
        <x:v>-6.8155589612613927E-3</x:v>
      </x:c>
      <x:c r="AK52" s="54">
        <x:f t="shared" si="43"/>
        <x:v>2.2993756534271048E-2</x:v>
      </x:c>
      <x:c r="AL52" s="55">
        <x:f t="shared" si="35"/>
        <x:v>-3.7267238906878386E-2</x:v>
      </x:c>
      <x:c r="AM52" s="47">
        <x:v>43373</x:v>
      </x:c>
      <x:c r="AN52" s="50">
        <x:v>232765328403.42999</x:v>
      </x:c>
      <x:c r="AO52" s="54">
        <x:f t="shared" si="36"/>
        <x:v>26.173296608737122</x:v>
      </x:c>
      <x:c r="AP52" s="54">
        <x:f t="shared" si="44"/>
        <x:v>8.3431483082563318E-4</x:v>
      </x:c>
      <x:c r="AQ52" s="54" t="n">
        <x:f t="shared" ref="AQ52:AQ83" si="51">AP52-$AO$6-$AP$6*AP40-$AQ$6*AQ40</x:f>
        <x:v>-0.004816417679866997</x:v>
      </x:c>
      <x:c r="AR52" s="55" t="n">
        <x:f t="shared" ref="AR52:AR83" si="52">$AP$6*AP40+AQ52+$AQ$6*AQ40</x:f>
        <x:v>0.00041523033782563286</x:v>
      </x:c>
    </x:row>
    <x:row r="53">
      <x:c r="B53" s="47">
        <x:v>43404</x:v>
      </x:c>
      <x:c r="C53" s="50">
        <x:v>76844535229.150803</x:v>
      </x:c>
      <x:c r="D53" s="54">
        <x:f t="shared" si="30"/>
        <x:v>25.065050194827474</x:v>
      </x:c>
      <x:c r="E53" s="54">
        <x:f t="shared" si="37"/>
        <x:v>-0.32717430464757058</x:v>
      </x:c>
      <x:c r="F53" s="54">
        <x:f t="shared" si="45"/>
        <x:v>-0.21826408386633828</x:v>
      </x:c>
      <x:c r="G53" s="54">
        <x:f t="shared" si="46"/>
        <x:v>-0.3399853046475706</x:v>
      </x:c>
      <x:c r="H53" s="55"/>
      <x:c r="J53" s="47">
        <x:v>43404</x:v>
      </x:c>
      <x:c r="K53" s="50">
        <x:v>817915985.25</x:v>
      </x:c>
      <x:c r="L53" s="54">
        <x:f t="shared" si="31"/>
        <x:v>-0.20099565517250578</x:v>
      </x:c>
      <x:c r="M53" s="54">
        <x:f t="shared" si="38"/>
        <x:v>-2.0542162060598362E-2</x:v>
      </x:c>
      <x:c r="N53" s="54">
        <x:f t="shared" si="27"/>
        <x:v>-8.4249670043474556E-2</x:v>
      </x:c>
      <x:c r="O53" s="54">
        <x:f t="shared" si="28"/>
        <x:v>-2.054216206059839E-2</x:v>
      </x:c>
      <x:c r="P53" s="55">
        <x:f t="shared" si="29"/>
        <x:v>2.7755575615628914E-17</x:v>
      </x:c>
      <x:c r="R53" s="47">
        <x:v>43404</x:v>
      </x:c>
      <x:c r="S53" s="50">
        <x:v>75967264.75</x:v>
      </x:c>
      <x:c r="T53" s="54">
        <x:f t="shared" si="32"/>
        <x:v>-2.5774527584589988</x:v>
      </x:c>
      <x:c r="U53" s="54">
        <x:f t="shared" si="39"/>
        <x:v>0.20035627392033684</x:v>
      </x:c>
      <x:c r="V53" s="54">
        <x:f t="shared" si="47"/>
        <x:v>-0.48353195420481332</x:v>
      </x:c>
      <x:c r="W53" s="54">
        <x:f t="shared" si="40"/>
        <x:v>0.18818362392033683</x:v>
      </x:c>
      <x:c r="X53" s="55">
        <x:f t="shared" si="48"/>
        <x:v>0</x:v>
      </x:c>
      <x:c r="Y53" s="47">
        <x:v>43404</x:v>
      </x:c>
      <x:c r="Z53" s="50">
        <x:v>72239026106.410202</x:v>
      </x:c>
      <x:c r="AA53" s="54">
        <x:f t="shared" si="33"/>
        <x:v>25.003246264602282</x:v>
      </x:c>
      <x:c r="AB53" s="54">
        <x:f t="shared" si="41"/>
        <x:v>2.5888615084710409E-3</x:v>
      </x:c>
      <x:c r="AC53" s="54">
        <x:f t="shared" si="49"/>
        <x:v>1.2507405829698892E-2</x:v>
      </x:c>
      <x:c r="AD53" s="54">
        <x:f t="shared" si="50"/>
        <x:v>-2.8756453908528948E-2</x:v>
      </x:c>
      <x:c r="AE53" s="55"/>
      <x:c r="AF53" s="47">
        <x:v>43404</x:v>
      </x:c>
      <x:c r="AG53" s="50">
        <x:v>27353402866.477898</x:v>
      </x:c>
      <x:c r="AH53" s="54">
        <x:f t="shared" si="34"/>
        <x:v>24.032106777324618</x:v>
      </x:c>
      <x:c r="AI53" s="54">
        <x:f t="shared" si="42"/>
        <x:v>5.1380179285096972E-2</x:v>
      </x:c>
      <x:c r="AJ53" s="54" t="n">
        <x:f t="shared" ref="AJ53:AJ84" si="53">AL53-$AI$6*AL52-$AJ$6*AL41-$AK$6*AL40-$AL$6*AJ41</x:f>
        <x:v>0.03815047304684719</x:v>
      </x:c>
      <x:c r="AK53" s="54">
        <x:f t="shared" si="43"/>
        <x:v>4.8306179285096978E-2</x:v>
      </x:c>
      <x:c r="AL53" s="55">
        <x:f t="shared" si="35"/>
        <x:v>1.1038940378218592E-2</x:v>
      </x:c>
      <x:c r="AM53" s="47">
        <x:v>43404</x:v>
      </x:c>
      <x:c r="AN53" s="50">
        <x:v>237071699842.17999</x:v>
      </x:c>
      <x:c r="AO53" s="54">
        <x:f t="shared" si="36"/>
        <x:v>26.191628463307936</x:v>
      </x:c>
      <x:c r="AP53" s="54">
        <x:f t="shared" si="44"/>
        <x:v>1.8331854570813988E-2</x:v>
      </x:c>
      <x:c r="AQ53" s="54">
        <x:f t="shared" si="51"/>
        <x:v>1.8556909821547285E-2</x:v>
      </x:c>
      <x:c r="AR53" s="55">
        <x:f t="shared" si="52"/>
        <x:v>1.7912770077813986E-2</x:v>
      </x:c>
    </x:row>
    <x:row r="54">
      <x:c r="B54" s="47">
        <x:v>43434</x:v>
      </x:c>
      <x:c r="C54" s="50">
        <x:v>71123782404.513199</x:v>
      </x:c>
      <x:c r="D54" s="54">
        <x:f t="shared" si="30"/>
        <x:v>24.987687610153412</x:v>
      </x:c>
      <x:c r="E54" s="54">
        <x:f t="shared" si="37"/>
        <x:v>-7.7362584674062873E-2</x:v>
      </x:c>
      <x:c r="F54" s="54">
        <x:f t="shared" si="45"/>
        <x:v>-0.12598846431903404</x:v>
      </x:c>
      <x:c r="G54" s="54">
        <x:f t="shared" si="46"/>
        <x:v>-9.0173584674062848E-2</x:v>
      </x:c>
      <x:c r="H54" s="55"/>
      <x:c r="J54" s="47">
        <x:v>43434</x:v>
      </x:c>
      <x:c r="K54" s="50">
        <x:v>172266492.5</x:v>
      </x:c>
      <x:c r="L54" s="54">
        <x:f t="shared" si="31"/>
        <x:v>-1.7587126262117774</x:v>
      </x:c>
      <x:c r="M54" s="54">
        <x:f t="shared" si="38"/>
        <x:v>-1.5577169710392715</x:v>
      </x:c>
      <x:c r="N54" s="54" t="n">
        <x:f t="shared" ref="N54:N85" si="54">M54-$M$6*M53-$N$6*M42-$O$6*M41-$P$6*N53</x:f>
        <x:v>-1.3361117362832238</x:v>
      </x:c>
      <x:c r="O54" s="54" t="n">
        <x:f t="shared" ref="O54:O85" si="55">$M$6*M53+$N$6*M42+$O$6*M41+N54+$P$6*N53</x:f>
        <x:v>-1.5577169710392715</x:v>
      </x:c>
      <x:c r="P54" s="55" t="n">
        <x:f t="shared" ref="P54:P85" si="56">M54-($L$6+O54)</x:f>
        <x:v>0</x:v>
      </x:c>
      <x:c r="R54" s="47">
        <x:v>43434</x:v>
      </x:c>
      <x:c r="S54" s="50">
        <x:v>110656432.75</x:v>
      </x:c>
      <x:c r="T54" s="54">
        <x:f t="shared" si="32"/>
        <x:v>-2.2013250781604508</x:v>
      </x:c>
      <x:c r="U54" s="54">
        <x:f t="shared" si="39"/>
        <x:v>0.37612768029854804</x:v>
      </x:c>
      <x:c r="V54" s="54">
        <x:f t="shared" si="47"/>
        <x:v>-0.1741797187033638</x:v>
      </x:c>
      <x:c r="W54" s="54">
        <x:f t="shared" si="40"/>
        <x:v>0.36395503029854803</x:v>
      </x:c>
      <x:c r="X54" s="55">
        <x:f t="shared" si="48"/>
        <x:v>0</x:v>
      </x:c>
      <x:c r="Y54" s="47">
        <x:v>43434</x:v>
      </x:c>
      <x:c r="Z54" s="50">
        <x:v>73327652495.001099</x:v>
      </x:c>
      <x:c r="AA54" s="54">
        <x:f t="shared" si="33"/>
        <x:v>25.018203625652763</x:v>
      </x:c>
      <x:c r="AB54" s="54">
        <x:f t="shared" si="41"/>
        <x:v>1.4957361050480955E-2</x:v>
      </x:c>
      <x:c r="AC54" s="54">
        <x:f t="shared" si="49"/>
        <x:v>-1.0529315161207121E-2</x:v>
      </x:c>
      <x:c r="AD54" s="54">
        <x:f t="shared" si="50"/>
        <x:v>-1.6387954366519047E-2</x:v>
      </x:c>
      <x:c r="AE54" s="55"/>
      <x:c r="AF54" s="47">
        <x:v>43434</x:v>
      </x:c>
      <x:c r="AG54" s="50">
        <x:v>27006710611.967899</x:v>
      </x:c>
      <x:c r="AH54" s="54">
        <x:f t="shared" si="34"/>
        <x:v>24.019351213253493</x:v>
      </x:c>
      <x:c r="AI54" s="54">
        <x:f t="shared" si="42"/>
        <x:v>-1.2755564071124326E-2</x:v>
      </x:c>
      <x:c r="AJ54" s="54">
        <x:f t="shared" si="53"/>
        <x:v>-1.7882187109792645E-2</x:v>
      </x:c>
      <x:c r="AK54" s="54">
        <x:f t="shared" si="43"/>
        <x:v>-1.5829564071124319E-2</x:v>
      </x:c>
      <x:c r="AL54" s="55">
        <x:f t="shared" si="35"/>
        <x:v>-4.7906236929057266E-3</x:v>
      </x:c>
      <x:c r="AM54" s="47">
        <x:v>43434</x:v>
      </x:c>
      <x:c r="AN54" s="50">
        <x:v>234903995623.67999</x:v>
      </x:c>
      <x:c r="AO54" s="54">
        <x:f t="shared" si="36"/>
        <x:v>26.182442738358819</x:v>
      </x:c>
      <x:c r="AP54" s="54">
        <x:f t="shared" si="44"/>
        <x:v>-9.1857249491162918E-3</x:v>
      </x:c>
      <x:c r="AQ54" s="54">
        <x:f t="shared" si="51"/>
        <x:v>-1.301324928532858E-2</x:v>
      </x:c>
      <x:c r="AR54" s="55">
        <x:f t="shared" si="52"/>
        <x:v>-9.6048094421162921E-3</x:v>
      </x:c>
    </x:row>
    <x:row r="55">
      <x:c r="B55" s="47">
        <x:v>43465</x:v>
      </x:c>
      <x:c r="C55" s="50">
        <x:v>114700201710.56641</x:v>
      </x:c>
      <x:c r="D55" s="54">
        <x:f t="shared" si="30"/>
        <x:v>25.465587619672746</x:v>
      </x:c>
      <x:c r="E55" s="54">
        <x:f t="shared" si="37"/>
        <x:v>0.47790000951933465</x:v>
      </x:c>
      <x:c r="F55" s="54">
        <x:f t="shared" si="45"/>
        <x:v>0.3722309176169612</x:v>
      </x:c>
      <x:c r="G55" s="54">
        <x:f t="shared" si="46"/>
        <x:v>0.46508900951933463</x:v>
      </x:c>
      <x:c r="H55" s="55"/>
      <x:c r="J55" s="47">
        <x:v>43465</x:v>
      </x:c>
      <x:c r="K55" s="50">
        <x:v>120635544.75</x:v>
      </x:c>
      <x:c r="L55" s="54">
        <x:f t="shared" si="31"/>
        <x:v>-2.1149813055271038</x:v>
      </x:c>
      <x:c r="M55" s="54">
        <x:f t="shared" si="38"/>
        <x:v>-0.35626867931532646</x:v>
      </x:c>
      <x:c r="N55" s="54">
        <x:f t="shared" si="54"/>
        <x:v>-0.94949788059616302</x:v>
      </x:c>
      <x:c r="O55" s="54">
        <x:f t="shared" si="55"/>
        <x:v>-0.35626867931532646</x:v>
      </x:c>
      <x:c r="P55" s="55">
        <x:f t="shared" si="56"/>
        <x:v>0</x:v>
      </x:c>
      <x:c r="R55" s="47">
        <x:v>43465</x:v>
      </x:c>
      <x:c r="S55" s="50">
        <x:v>112456751.75</x:v>
      </x:c>
      <x:c r="T55" s="54">
        <x:f t="shared" si="32"/>
        <x:v>-2.1851865601382796</x:v>
      </x:c>
      <x:c r="U55" s="54">
        <x:f t="shared" si="39"/>
        <x:v>1.6138518022171144E-2</x:v>
      </x:c>
      <x:c r="V55" s="54">
        <x:f t="shared" si="47"/>
        <x:v>-0.27271936320143553</x:v>
      </x:c>
      <x:c r="W55" s="54">
        <x:f t="shared" si="40"/>
        <x:v>3.9658680221711443E-3</x:v>
      </x:c>
      <x:c r="X55" s="55">
        <x:f t="shared" si="48"/>
        <x:v>2.7755575615628914E-17</x:v>
      </x:c>
      <x:c r="Y55" s="47">
        <x:v>43465</x:v>
      </x:c>
      <x:c r="Z55" s="50">
        <x:v>78372554430.434509</x:v>
      </x:c>
      <x:c r="AA55" s="54">
        <x:f t="shared" si="33"/>
        <x:v>25.084739631973225</x:v>
      </x:c>
      <x:c r="AB55" s="54">
        <x:f t="shared" si="41"/>
        <x:v>6.6536006320461638E-2</x:v>
      </x:c>
      <x:c r="AC55" s="54">
        <x:f t="shared" si="49"/>
        <x:v>4.8697217012318481E-2</x:v>
      </x:c>
      <x:c r="AD55" s="54">
        <x:f t="shared" si="50"/>
        <x:v>3.5190690903461649E-2</x:v>
      </x:c>
      <x:c r="AE55" s="55"/>
      <x:c r="AF55" s="47">
        <x:v>43465</x:v>
      </x:c>
      <x:c r="AG55" s="50">
        <x:v>24757165934.3134</x:v>
      </x:c>
      <x:c r="AH55" s="54">
        <x:f t="shared" si="34"/>
        <x:v>23.93238081675414</x:v>
      </x:c>
      <x:c r="AI55" s="54">
        <x:f t="shared" si="42"/>
        <x:v>-8.6970396499353342E-2</x:v>
      </x:c>
      <x:c r="AJ55" s="54">
        <x:f t="shared" si="53"/>
        <x:v>-3.2479271683448184E-2</x:v>
      </x:c>
      <x:c r="AK55" s="54">
        <x:f t="shared" si="43"/>
        <x:v>-9.0044396499353335E-2</x:v>
      </x:c>
      <x:c r="AL55" s="55">
        <x:f t="shared" si="35"/>
        <x:v>-9.4835020192259062E-2</x:v>
      </x:c>
      <x:c r="AM55" s="47">
        <x:v>43465</x:v>
      </x:c>
      <x:c r="AN55" s="50">
        <x:v>239467646227.66498</x:v>
      </x:c>
      <x:c r="AO55" s="54">
        <x:f t="shared" si="36"/>
        <x:v>26.201684155852295</x:v>
      </x:c>
      <x:c r="AP55" s="54">
        <x:f t="shared" si="44"/>
        <x:v>1.924141749347541E-2</x:v>
      </x:c>
      <x:c r="AQ55" s="54">
        <x:f t="shared" si="51"/>
        <x:v>1.1194280023792691E-3</x:v>
      </x:c>
      <x:c r="AR55" s="55">
        <x:f t="shared" si="52"/>
        <x:v>1.8822333000475411E-2</x:v>
      </x:c>
    </x:row>
    <x:row r="56">
      <x:c r="B56" s="47">
        <x:v>43496</x:v>
      </x:c>
      <x:c r="C56" s="50">
        <x:v>95001776370.833405</x:v>
      </x:c>
      <x:c r="D56" s="54">
        <x:f t="shared" si="30"/>
        <x:v>25.277161427012487</x:v>
      </x:c>
      <x:c r="E56" s="54">
        <x:f t="shared" si="37"/>
        <x:v>-0.18842619266025906</x:v>
      </x:c>
      <x:c r="F56" s="54">
        <x:f t="shared" si="45"/>
        <x:v>-8.6074577796711169E-2</x:v>
      </x:c>
      <x:c r="G56" s="54">
        <x:f t="shared" si="46"/>
        <x:v>-0.20123719266025902</x:v>
      </x:c>
      <x:c r="H56" s="55"/>
      <x:c r="J56" s="47">
        <x:v>43496</x:v>
      </x:c>
      <x:c r="K56" s="50">
        <x:v>143188758.5</x:v>
      </x:c>
      <x:c r="L56" s="54">
        <x:f t="shared" si="31"/>
        <x:v>-1.9435915296320145</x:v>
      </x:c>
      <x:c r="M56" s="54">
        <x:f t="shared" si="38"/>
        <x:v>0.1713897758950893</x:v>
      </x:c>
      <x:c r="N56" s="54">
        <x:f t="shared" si="54"/>
        <x:v>-0.54446533587872292</x:v>
      </x:c>
      <x:c r="O56" s="54">
        <x:f t="shared" si="55"/>
        <x:v>0.1713897758950893</x:v>
      </x:c>
      <x:c r="P56" s="55">
        <x:f t="shared" si="56"/>
        <x:v>0</x:v>
      </x:c>
      <x:c r="R56" s="47">
        <x:v>43496</x:v>
      </x:c>
      <x:c r="S56" s="50">
        <x:v>110426337.75</x:v>
      </x:c>
      <x:c r="T56" s="54">
        <x:f t="shared" si="32"/>
        <x:v>-2.2034066070155358</x:v>
      </x:c>
      <x:c r="U56" s="54">
        <x:f t="shared" si="39"/>
        <x:v>-1.8220046877256202E-2</x:v>
      </x:c>
      <x:c r="V56" s="54">
        <x:f t="shared" si="47"/>
        <x:v>-0.30751026618749699</x:v>
      </x:c>
      <x:c r="W56" s="54">
        <x:f t="shared" si="40"/>
        <x:v>-3.0392696877256202E-2</x:v>
      </x:c>
      <x:c r="X56" s="55">
        <x:f t="shared" si="48"/>
        <x:v>0</x:v>
      </x:c>
      <x:c r="Y56" s="47">
        <x:v>43496</x:v>
      </x:c>
      <x:c r="Z56" s="50">
        <x:v>76734786010.68689</x:v>
      </x:c>
      <x:c r="AA56" s="54">
        <x:f t="shared" si="33"/>
        <x:v>25.063620975890188</x:v>
      </x:c>
      <x:c r="AB56" s="54">
        <x:f t="shared" si="41"/>
        <x:v>-2.1118656083036313E-2</x:v>
      </x:c>
      <x:c r="AC56" s="54">
        <x:f t="shared" si="49"/>
        <x:v>9.5650595571218581E-3</x:v>
      </x:c>
      <x:c r="AD56" s="54">
        <x:f t="shared" si="50"/>
        <x:v>-5.2463971500036309E-2</x:v>
      </x:c>
      <x:c r="AE56" s="55"/>
      <x:c r="AF56" s="47">
        <x:v>43496</x:v>
      </x:c>
      <x:c r="AG56" s="50">
        <x:v>26292130708.346397</x:v>
      </x:c>
      <x:c r="AH56" s="54">
        <x:f t="shared" si="34"/>
        <x:v>23.992535518746703</x:v>
      </x:c>
      <x:c r="AI56" s="54">
        <x:f t="shared" si="42"/>
        <x:v>6.0154701992562565E-2</x:v>
      </x:c>
      <x:c r="AJ56" s="54">
        <x:f t="shared" si="53"/>
        <x:v>3.6599401784959656E-2</x:v>
      </x:c>
      <x:c r="AK56" s="54">
        <x:f t="shared" si="43"/>
        <x:v>5.7080701992562571E-2</x:v>
      </x:c>
      <x:c r="AL56" s="55">
        <x:f t="shared" si="35"/>
        <x:v>-3.775431819969649E-2</x:v>
      </x:c>
      <x:c r="AM56" s="47">
        <x:v>43496</x:v>
      </x:c>
      <x:c r="AN56" s="50">
        <x:v>243207835702.16498</x:v>
      </x:c>
      <x:c r="AO56" s="54">
        <x:f t="shared" si="36"/>
        <x:v>26.217182205689483</x:v>
      </x:c>
      <x:c r="AP56" s="54">
        <x:f t="shared" si="44"/>
        <x:v>1.5498049837187722E-2</x:v>
      </x:c>
      <x:c r="AQ56" s="54">
        <x:f t="shared" si="51"/>
        <x:v>7.6066235307433276E-3</x:v>
      </x:c>
      <x:c r="AR56" s="55">
        <x:f t="shared" si="52"/>
        <x:v>1.5078965344187721E-2</x:v>
      </x:c>
    </x:row>
    <x:row r="57">
      <x:c r="B57" s="47">
        <x:v>43524</x:v>
      </x:c>
      <x:c r="C57" s="50">
        <x:v>88612545421.608002</x:v>
      </x:c>
      <x:c r="D57" s="54">
        <x:f t="shared" si="30"/>
        <x:v>25.207539280714332</x:v>
      </x:c>
      <x:c r="E57" s="54">
        <x:f t="shared" si="37"/>
        <x:v>-6.9622146298154775E-2</x:v>
      </x:c>
      <x:c r="F57" s="54">
        <x:f t="shared" si="45"/>
        <x:v>-3.8211308135143382E-2</x:v>
      </x:c>
      <x:c r="G57" s="54">
        <x:f t="shared" si="46"/>
        <x:v>-8.2433146298154777E-2</x:v>
      </x:c>
      <x:c r="H57" s="55"/>
      <x:c r="J57" s="47">
        <x:v>43524</x:v>
      </x:c>
      <x:c r="K57" s="50">
        <x:v>145947486.5</x:v>
      </x:c>
      <x:c r="L57" s="54">
        <x:f t="shared" si="31"/>
        <x:v>-1.924508403481558</x:v>
      </x:c>
      <x:c r="M57" s="54">
        <x:f t="shared" si="38"/>
        <x:v>1.9083126150456486E-2</x:v>
      </x:c>
      <x:c r="N57" s="54">
        <x:f t="shared" si="54"/>
        <x:v>-0.58800531003003764</x:v>
      </x:c>
      <x:c r="O57" s="54">
        <x:f t="shared" si="55"/>
        <x:v>1.9083126150456486E-2</x:v>
      </x:c>
      <x:c r="P57" s="55">
        <x:f t="shared" si="56"/>
        <x:v>0</x:v>
      </x:c>
      <x:c r="R57" s="47">
        <x:v>43524</x:v>
      </x:c>
      <x:c r="S57" s="50">
        <x:v>140336189.75</x:v>
      </x:c>
      <x:c r="T57" s="54">
        <x:f t="shared" si="32"/>
        <x:v>-1.9637143796619514</x:v>
      </x:c>
      <x:c r="U57" s="54">
        <x:f t="shared" si="39"/>
        <x:v>0.23969222735358442</x:v>
      </x:c>
      <x:c r="V57" s="54">
        <x:f t="shared" si="47"/>
        <x:v>-7.5025206788524257E-2</x:v>
      </x:c>
      <x:c r="W57" s="54">
        <x:f t="shared" si="40"/>
        <x:v>0.22751957735358441</x:v>
      </x:c>
      <x:c r="X57" s="55">
        <x:f t="shared" si="48"/>
        <x:v>0</x:v>
      </x:c>
      <x:c r="Y57" s="47">
        <x:v>43524</x:v>
      </x:c>
      <x:c r="Z57" s="50">
        <x:v>76112962971.050888</x:v>
      </x:c>
      <x:c r="AA57" s="54">
        <x:f t="shared" si="33"/>
        <x:v>25.055484428582933</x:v>
      </x:c>
      <x:c r="AB57" s="54">
        <x:f t="shared" si="41"/>
        <x:v>-8.1365473072558814E-3</x:v>
      </x:c>
      <x:c r="AC57" s="54">
        <x:f t="shared" si="49"/>
        <x:v>-2.992526429103029E-2</x:v>
      </x:c>
      <x:c r="AD57" s="54">
        <x:f t="shared" si="50"/>
        <x:v>-3.948186272425587E-2</x:v>
      </x:c>
      <x:c r="AE57" s="55"/>
      <x:c r="AF57" s="47">
        <x:v>43524</x:v>
      </x:c>
      <x:c r="AG57" s="50">
        <x:v>27366732931.584801</x:v>
      </x:c>
      <x:c r="AH57" s="54">
        <x:f t="shared" si="34"/>
        <x:v>24.03259398610713</x:v>
      </x:c>
      <x:c r="AI57" s="54">
        <x:f t="shared" si="42"/>
        <x:v>4.0058467360427841E-2</x:v>
      </x:c>
      <x:c r="AJ57" s="54">
        <x:f t="shared" si="53"/>
        <x:v>1.674238480632366E-2</x:v>
      </x:c>
      <x:c r="AK57" s="54">
        <x:f t="shared" si="43"/>
        <x:v>3.698446736042782E-2</x:v>
      </x:c>
      <x:c r="AL57" s="55">
        <x:f t="shared" si="35"/>
        <x:v>-7.6985083926867093E-4</x:v>
      </x:c>
      <x:c r="AM57" s="47">
        <x:v>43524</x:v>
      </x:c>
      <x:c r="AN57" s="50">
        <x:v>243469789506.41498</x:v>
      </x:c>
      <x:c r="AO57" s="54">
        <x:f t="shared" si="36"/>
        <x:v>26.218258704036554</x:v>
      </x:c>
      <x:c r="AP57" s="54">
        <x:f t="shared" si="44"/>
        <x:v>1.076498347071464E-3</x:v>
      </x:c>
      <x:c r="AQ57" s="54">
        <x:f t="shared" si="51"/>
        <x:v>3.9434187748512567E-5</x:v>
      </x:c>
      <x:c r="AR57" s="55">
        <x:f t="shared" si="52"/>
        <x:v>6.5741385407146408E-4</x:v>
      </x:c>
    </x:row>
    <x:row r="58">
      <x:c r="B58" s="47">
        <x:v>43555</x:v>
      </x:c>
      <x:c r="C58" s="50">
        <x:v>104266277638.82381</x:v>
      </x:c>
      <x:c r="D58" s="54">
        <x:f t="shared" si="30"/>
        <x:v>25.370213825857046</x:v>
      </x:c>
      <x:c r="E58" s="54">
        <x:f t="shared" si="37"/>
        <x:v>0.16267454514271407</x:v>
      </x:c>
      <x:c r="F58" s="54">
        <x:f t="shared" si="45"/>
        <x:v>0.11759571914484332</x:v>
      </x:c>
      <x:c r="G58" s="54">
        <x:f t="shared" si="46"/>
        <x:v>0.14986354514271408</x:v>
      </x:c>
      <x:c r="H58" s="55"/>
      <x:c r="J58" s="47">
        <x:v>43555</x:v>
      </x:c>
      <x:c r="K58" s="50">
        <x:v>105148635.5</x:v>
      </x:c>
      <x:c r="L58" s="54">
        <x:f t="shared" si="31"/>
        <x:v>-2.2523803536175788</x:v>
      </x:c>
      <x:c r="M58" s="54">
        <x:f t="shared" si="38"/>
        <x:v>-0.32787195013602077</x:v>
      </x:c>
      <x:c r="N58" s="54">
        <x:f t="shared" si="54"/>
        <x:v>-0.35148971298294696</x:v>
      </x:c>
      <x:c r="O58" s="54">
        <x:f t="shared" si="55"/>
        <x:v>-0.32787195013602077</x:v>
      </x:c>
      <x:c r="P58" s="55">
        <x:f t="shared" si="56"/>
        <x:v>0</x:v>
      </x:c>
      <x:c r="R58" s="47">
        <x:v>43555</x:v>
      </x:c>
      <x:c r="S58" s="50">
        <x:v>88080131.75</x:v>
      </x:c>
      <x:c r="T58" s="54">
        <x:f t="shared" si="32"/>
        <x:v>-2.429508290769558</x:v>
      </x:c>
      <x:c r="U58" s="54">
        <x:f t="shared" si="39"/>
        <x:v>-0.4657939111076066</x:v>
      </x:c>
      <x:c r="V58" s="54">
        <x:f t="shared" si="47"/>
        <x:v>-0.61831473107846224</x:v>
      </x:c>
      <x:c r="W58" s="54">
        <x:f t="shared" si="40"/>
        <x:v>-0.4779665611076066</x:v>
      </x:c>
      <x:c r="X58" s="55">
        <x:f t="shared" si="48"/>
        <x:v>0</x:v>
      </x:c>
      <x:c r="Y58" s="47">
        <x:v>43555</x:v>
      </x:c>
      <x:c r="Z58" s="50">
        <x:v>79069593748.355194</x:v>
      </x:c>
      <x:c r="AA58" s="54">
        <x:f t="shared" si="33"/>
        <x:v>25.09359423514271</x:v>
      </x:c>
      <x:c r="AB58" s="54">
        <x:f t="shared" si="41"/>
        <x:v>3.8109806559777581E-2</x:v>
      </x:c>
      <x:c r="AC58" s="54">
        <x:f t="shared" si="49"/>
        <x:v>1.0760177123149358E-2</x:v>
      </x:c>
      <x:c r="AD58" s="54">
        <x:f t="shared" si="50"/>
        <x:v>6.7644911427775858E-3</x:v>
      </x:c>
      <x:c r="AE58" s="55"/>
      <x:c r="AF58" s="47">
        <x:v>43555</x:v>
      </x:c>
      <x:c r="AG58" s="50">
        <x:v>28745265906.005898</x:v>
      </x:c>
      <x:c r="AH58" s="54">
        <x:f t="shared" si="34"/>
        <x:v>24.081738926492218</x:v>
      </x:c>
      <x:c r="AI58" s="54">
        <x:f t="shared" si="42"/>
        <x:v>4.914494038508721E-2</x:v>
      </x:c>
      <x:c r="AJ58" s="54">
        <x:f t="shared" si="53"/>
        <x:v>1.8853035458699326E-2</x:v>
      </x:c>
      <x:c r="AK58" s="54">
        <x:f t="shared" si="43"/>
        <x:v>4.6070940385087217E-2</x:v>
      </x:c>
      <x:c r="AL58" s="55">
        <x:f t="shared" si="35"/>
        <x:v>4.5301089545818546E-2</x:v>
      </x:c>
      <x:c r="AM58" s="47">
        <x:v>43555</x:v>
      </x:c>
      <x:c r="AN58" s="50">
        <x:v>246517177538.70499</x:v>
      </x:c>
      <x:c r="AO58" s="54">
        <x:f t="shared" si="36"/>
        <x:v>26.230697513756613</x:v>
      </x:c>
      <x:c r="AP58" s="54">
        <x:f t="shared" si="44"/>
        <x:v>1.2438809720059396E-2</x:v>
      </x:c>
      <x:c r="AQ58" s="54">
        <x:f t="shared" si="51"/>
        <x:v>7.4886230141137742E-3</x:v>
      </x:c>
      <x:c r="AR58" s="55">
        <x:f t="shared" si="52"/>
        <x:v>1.2019725227059396E-2</x:v>
      </x:c>
    </x:row>
    <x:row r="59">
      <x:c r="B59" s="47">
        <x:v>43585</x:v>
      </x:c>
      <x:c r="C59" s="50">
        <x:v>124060686626.84711</x:v>
      </x:c>
      <x:c r="D59" s="54">
        <x:f t="shared" si="30"/>
        <x:v>25.544036691111302</x:v>
      </x:c>
      <x:c r="E59" s="54">
        <x:f t="shared" si="37"/>
        <x:v>0.17382286525425528</x:v>
      </x:c>
      <x:c r="F59" s="54">
        <x:f t="shared" si="45"/>
        <x:v>0.19772278459816656</x:v>
      </x:c>
      <x:c r="G59" s="54">
        <x:f t="shared" si="46"/>
        <x:v>0.16101186525425529</x:v>
      </x:c>
      <x:c r="H59" s="55"/>
      <x:c r="J59" s="47">
        <x:v>43585</x:v>
      </x:c>
      <x:c r="K59" s="50">
        <x:v>146577684.5</x:v>
      </x:c>
      <x:c r="L59" s="54">
        <x:f t="shared" si="31"/>
        <x:v>-1.9201997214436974</x:v>
      </x:c>
      <x:c r="M59" s="54">
        <x:f t="shared" si="38"/>
        <x:v>0.33218063217388138</x:v>
      </x:c>
      <x:c r="N59" s="54">
        <x:f t="shared" si="54"/>
        <x:v>-0.1875366035347395</x:v>
      </x:c>
      <x:c r="O59" s="54">
        <x:f t="shared" si="55"/>
        <x:v>0.33218063217388138</x:v>
      </x:c>
      <x:c r="P59" s="55">
        <x:f t="shared" si="56"/>
        <x:v>0</x:v>
      </x:c>
      <x:c r="R59" s="47">
        <x:v>43585</x:v>
      </x:c>
      <x:c r="S59" s="50">
        <x:v>103536551.25</x:v>
      </x:c>
      <x:c r="T59" s="54">
        <x:f t="shared" si="32"/>
        <x:v>-2.267830576446352</x:v>
      </x:c>
      <x:c r="U59" s="54">
        <x:f t="shared" si="39"/>
        <x:v>0.16167771432320599</x:v>
      </x:c>
      <x:c r="V59" s="54">
        <x:f t="shared" si="47"/>
        <x:v>-0.34186755085196691</x:v>
      </x:c>
      <x:c r="W59" s="54">
        <x:f t="shared" si="40"/>
        <x:v>0.14950506432320598</x:v>
      </x:c>
      <x:c r="X59" s="55">
        <x:f t="shared" si="48"/>
        <x:v>0</x:v>
      </x:c>
      <x:c r="Y59" s="47">
        <x:v>43585</x:v>
      </x:c>
      <x:c r="Z59" s="50">
        <x:v>81292234967.744095</x:v>
      </x:c>
      <x:c r="AA59" s="54">
        <x:f t="shared" si="33"/>
        <x:v>25.121316338086867</x:v>
      </x:c>
      <x:c r="AB59" s="54">
        <x:f t="shared" si="41"/>
        <x:v>2.7722102944157001E-2</x:v>
      </x:c>
      <x:c r="AC59" s="54">
        <x:f t="shared" si="49"/>
        <x:v>3.4007322086537943E-2</x:v>
      </x:c>
      <x:c r="AD59" s="54">
        <x:f t="shared" si="50"/>
        <x:v>-3.623212472842992E-3</x:v>
      </x:c>
      <x:c r="AE59" s="55"/>
      <x:c r="AF59" s="47">
        <x:v>43585</x:v>
      </x:c>
      <x:c r="AG59" s="50">
        <x:v>29194921143.051899</x:v>
      </x:c>
      <x:c r="AH59" s="54">
        <x:f t="shared" si="34"/>
        <x:v>24.097260597635344</x:v>
      </x:c>
      <x:c r="AI59" s="54">
        <x:f t="shared" si="42"/>
        <x:v>1.5521671143126525E-2</x:v>
      </x:c>
      <x:c r="AJ59" s="54">
        <x:f t="shared" si="53"/>
        <x:v>2.2207158865284148E-3</x:v>
      </x:c>
      <x:c r="AK59" s="54">
        <x:f t="shared" si="43"/>
        <x:v>1.2447671143126532E-2</x:v>
      </x:c>
      <x:c r="AL59" s="55">
        <x:f t="shared" si="35"/>
        <x:v>5.7748760688945078E-2</x:v>
      </x:c>
      <x:c r="AM59" s="47">
        <x:v>43585</x:v>
      </x:c>
      <x:c r="AN59" s="50">
        <x:v>245609332065.095</x:v>
      </x:c>
      <x:c r="AO59" s="54">
        <x:f t="shared" si="36"/>
        <x:v>26.227008029505246</x:v>
      </x:c>
      <x:c r="AP59" s="54">
        <x:f t="shared" si="44"/>
        <x:v>-3.689484251367503E-3</x:v>
      </x:c>
      <x:c r="AQ59" s="54">
        <x:f t="shared" si="51"/>
        <x:v>-5.9533554813716583E-3</x:v>
      </x:c>
      <x:c r="AR59" s="55">
        <x:f t="shared" si="52"/>
        <x:v>-4.1085687443675025E-3</x:v>
      </x:c>
    </x:row>
    <x:row r="60">
      <x:c r="B60" s="47">
        <x:v>43616</x:v>
      </x:c>
      <x:c r="C60" s="50">
        <x:v>95863848888.526901</x:v>
      </x:c>
      <x:c r="D60" s="54">
        <x:f t="shared" si="30"/>
        <x:v>25.286194781014434</x:v>
      </x:c>
      <x:c r="E60" s="54">
        <x:f t="shared" si="37"/>
        <x:v>-0.25784191009686808</x:v>
      </x:c>
      <x:c r="F60" s="54">
        <x:f t="shared" si="45"/>
        <x:v>-0.17137607545824671</x:v>
      </x:c>
      <x:c r="G60" s="54">
        <x:f t="shared" si="46"/>
        <x:v>-0.27065291009686804</x:v>
      </x:c>
      <x:c r="H60" s="55"/>
      <x:c r="J60" s="47">
        <x:v>43616</x:v>
      </x:c>
      <x:c r="K60" s="50">
        <x:v>72698324.5</x:v>
      </x:c>
      <x:c r="L60" s="54">
        <x:f t="shared" si="31"/>
        <x:v>-2.6214369414757819</x:v>
      </x:c>
      <x:c r="M60" s="54">
        <x:f t="shared" si="38"/>
        <x:v>-0.70123722003208444</x:v>
      </x:c>
      <x:c r="N60" s="54">
        <x:f t="shared" si="54"/>
        <x:v>-0.85930418418872256</x:v>
      </x:c>
      <x:c r="O60" s="54">
        <x:f t="shared" si="55"/>
        <x:v>-0.70123722003208433</x:v>
      </x:c>
      <x:c r="P60" s="55">
        <x:f t="shared" si="56"/>
        <x:v>0</x:v>
      </x:c>
      <x:c r="R60" s="47">
        <x:v>43616</x:v>
      </x:c>
      <x:c r="S60" s="50">
        <x:v>122368657.25</x:v>
      </x:c>
      <x:c r="T60" s="54">
        <x:f t="shared" si="32"/>
        <x:v>-2.1007170099139301</x:v>
      </x:c>
      <x:c r="U60" s="54">
        <x:f t="shared" si="39"/>
        <x:v>0.16711356653242193</x:v>
      </x:c>
      <x:c r="V60" s="54">
        <x:f t="shared" si="47"/>
        <x:v>-0.23098841928747682</x:v>
      </x:c>
      <x:c r="W60" s="54">
        <x:f t="shared" si="40"/>
        <x:v>0.15494091653242192</x:v>
      </x:c>
      <x:c r="X60" s="55">
        <x:f t="shared" si="48"/>
        <x:v>0</x:v>
      </x:c>
      <x:c r="Y60" s="47">
        <x:v>43616</x:v>
      </x:c>
      <x:c r="Z60" s="50">
        <x:v>86365274159.258286</x:v>
      </x:c>
      <x:c r="AA60" s="54">
        <x:f t="shared" si="33"/>
        <x:v>25.181851512512122</x:v>
      </x:c>
      <x:c r="AB60" s="54">
        <x:f t="shared" si="41"/>
        <x:v>6.0535174425254468E-2</x:v>
      </x:c>
      <x:c r="AC60" s="54">
        <x:f t="shared" si="49"/>
        <x:v>5.1485191085314533E-2</x:v>
      </x:c>
      <x:c r="AD60" s="54">
        <x:f t="shared" si="50"/>
        <x:v>2.9189859008254462E-2</x:v>
      </x:c>
      <x:c r="AE60" s="55"/>
      <x:c r="AF60" s="47">
        <x:v>43616</x:v>
      </x:c>
      <x:c r="AG60" s="50">
        <x:v>29779117042.983398</x:v>
      </x:c>
      <x:c r="AH60" s="54">
        <x:f t="shared" si="34"/>
        <x:v>24.117073214433759</x:v>
      </x:c>
      <x:c r="AI60" s="54">
        <x:f t="shared" si="42"/>
        <x:v>1.981261679841495E-2</x:v>
      </x:c>
      <x:c r="AJ60" s="54">
        <x:f t="shared" si="53"/>
        <x:v>5.9723145787059853E-3</x:v>
      </x:c>
      <x:c r="AK60" s="54">
        <x:f t="shared" si="43"/>
        <x:v>1.6738616798414957E-2</x:v>
      </x:c>
      <x:c r="AL60" s="55">
        <x:f t="shared" si="35"/>
        <x:v>7.4487377487360035E-2</x:v>
      </x:c>
      <x:c r="AM60" s="47">
        <x:v>43616</x:v>
      </x:c>
      <x:c r="AN60" s="50">
        <x:v>246046342986.44498</x:v>
      </x:c>
      <x:c r="AO60" s="54">
        <x:f t="shared" si="36"/>
        <x:v>26.228785741260097</x:v>
      </x:c>
      <x:c r="AP60" s="54">
        <x:f t="shared" si="44"/>
        <x:v>1.7777117548511967E-3</x:v>
      </x:c>
      <x:c r="AQ60" s="54">
        <x:f t="shared" si="51"/>
        <x:v>-2.0840127990134918E-3</x:v>
      </x:c>
      <x:c r="AR60" s="55">
        <x:f t="shared" si="52"/>
        <x:v>1.3586272618511972E-3</x:v>
      </x:c>
    </x:row>
    <x:row r="61">
      <x:c r="B61" s="47">
        <x:v>43646</x:v>
      </x:c>
      <x:c r="C61" s="50">
        <x:v>114755069847.3708</x:v>
      </x:c>
      <x:c r="D61" s="54">
        <x:f t="shared" si="30"/>
        <x:v>25.466065866587517</x:v>
      </x:c>
      <x:c r="E61" s="54">
        <x:f t="shared" si="37"/>
        <x:v>0.17987108557308318</x:v>
      </x:c>
      <x:c r="F61" s="54">
        <x:f t="shared" si="45"/>
        <x:v>0.14289153537621752</x:v>
      </x:c>
      <x:c r="G61" s="54">
        <x:f t="shared" si="46"/>
        <x:v>0.16706008557308319</x:v>
      </x:c>
      <x:c r="H61" s="55"/>
      <x:c r="J61" s="47">
        <x:v>43646</x:v>
      </x:c>
      <x:c r="K61" s="50">
        <x:v>69153651.5</x:v>
      </x:c>
      <x:c r="L61" s="54">
        <x:f t="shared" si="31"/>
        <x:v>-2.6714244167702308</x:v>
      </x:c>
      <x:c r="M61" s="54">
        <x:f t="shared" si="38"/>
        <x:v>-4.9987475294448913E-2</x:v>
      </x:c>
      <x:c r="N61" s="54">
        <x:f t="shared" si="54"/>
        <x:v>-0.54779379236219305</x:v>
      </x:c>
      <x:c r="O61" s="54">
        <x:f t="shared" si="55"/>
        <x:v>-4.9987475294448913E-2</x:v>
      </x:c>
      <x:c r="P61" s="55">
        <x:f t="shared" si="56"/>
        <x:v>0</x:v>
      </x:c>
      <x:c r="R61" s="47">
        <x:v>43646</x:v>
      </x:c>
      <x:c r="S61" s="50">
        <x:v>120304738.25</x:v>
      </x:c>
      <x:c r="T61" s="54">
        <x:f t="shared" si="32"/>
        <x:v>-2.117727269827856</x:v>
      </x:c>
      <x:c r="U61" s="54">
        <x:f t="shared" si="39"/>
        <x:v>-1.7010259913925907E-2</x:v>
      </x:c>
      <x:c r="V61" s="54">
        <x:f t="shared" si="47"/>
        <x:v>-0.30571453881813387</x:v>
      </x:c>
      <x:c r="W61" s="54">
        <x:f t="shared" si="40"/>
        <x:v>-2.9182909913925907E-2</x:v>
      </x:c>
      <x:c r="X61" s="55">
        <x:f t="shared" si="48"/>
        <x:v>0</x:v>
      </x:c>
      <x:c r="Y61" s="47">
        <x:v>43646</x:v>
      </x:c>
      <x:c r="Z61" s="50">
        <x:v>82944076797.768494</x:v>
      </x:c>
      <x:c r="AA61" s="54">
        <x:f t="shared" si="33"/>
        <x:v>25.141432444134761</x:v>
      </x:c>
      <x:c r="AB61" s="54">
        <x:f t="shared" si="41"/>
        <x:v>-4.0419068377360645E-2</x:v>
      </x:c>
      <x:c r="AC61" s="54">
        <x:f t="shared" si="49"/>
        <x:v>-2.8204500201764512E-2</x:v>
      </x:c>
      <x:c r="AD61" s="54">
        <x:f t="shared" si="50"/>
        <x:v>-7.1764383794360634E-2</x:v>
      </x:c>
      <x:c r="AE61" s="55"/>
      <x:c r="AF61" s="47">
        <x:v>43646</x:v>
      </x:c>
      <x:c r="AG61" s="50">
        <x:v>30004746540.7066</x:v>
      </x:c>
      <x:c r="AH61" s="54">
        <x:f t="shared" si="34"/>
        <x:v>24.124621424116967</x:v>
      </x:c>
      <x:c r="AI61" s="54">
        <x:f t="shared" si="42"/>
        <x:v>7.548209683207574E-3</x:v>
      </x:c>
      <x:c r="AJ61" s="54">
        <x:f t="shared" si="53"/>
        <x:v>8.0037660999098641E-3</x:v>
      </x:c>
      <x:c r="AK61" s="54">
        <x:f t="shared" si="43"/>
        <x:v>4.4742096832075529E-3</x:v>
      </x:c>
      <x:c r="AL61" s="55">
        <x:f t="shared" si="35"/>
        <x:v>7.8961587170567588E-2</x:v>
      </x:c>
      <x:c r="AM61" s="47">
        <x:v>43646</x:v>
      </x:c>
      <x:c r="AN61" s="50">
        <x:v>246377625266.39499</x:v>
      </x:c>
      <x:c r="AO61" s="54">
        <x:f t="shared" si="36"/>
        <x:v>26.230131257933891</x:v>
      </x:c>
      <x:c r="AP61" s="54">
        <x:f t="shared" si="44"/>
        <x:v>1.3455166737941227E-3</x:v>
      </x:c>
      <x:c r="AQ61" s="54">
        <x:f t="shared" si="51"/>
        <x:v>1.4814582958463424E-3</x:v>
      </x:c>
      <x:c r="AR61" s="55">
        <x:f t="shared" si="52"/>
        <x:v>9.264321807941232E-4</x:v>
      </x:c>
    </x:row>
    <x:row r="62">
      <x:c r="B62" s="47">
        <x:v>43677</x:v>
      </x:c>
      <x:c r="C62" s="50">
        <x:v>117219478841.78731</x:v>
      </x:c>
      <x:c r="D62" s="54">
        <x:f t="shared" si="30"/>
        <x:v>25.48731390200108</x:v>
      </x:c>
      <x:c r="E62" s="54">
        <x:f t="shared" si="37"/>
        <x:v>2.1248035413563571E-2</x:v>
      </x:c>
      <x:c r="F62" s="54">
        <x:f t="shared" si="45"/>
        <x:v>2.7242720627934577E-2</x:v>
      </x:c>
      <x:c r="G62" s="54">
        <x:f t="shared" si="46"/>
        <x:v>8.4370354135635747E-3</x:v>
      </x:c>
      <x:c r="H62" s="55"/>
      <x:c r="J62" s="47">
        <x:v>43677</x:v>
      </x:c>
      <x:c r="K62" s="50">
        <x:v>73049288.5</x:v>
      </x:c>
      <x:c r="L62" s="54">
        <x:f t="shared" si="31"/>
        <x:v>-2.6166208807370368</x:v>
      </x:c>
      <x:c r="M62" s="54">
        <x:f t="shared" si="38"/>
        <x:v>5.4803536033193989E-2</x:v>
      </x:c>
      <x:c r="N62" s="54">
        <x:f t="shared" si="54"/>
        <x:v>-0.57654320578367246</x:v>
      </x:c>
      <x:c r="O62" s="54">
        <x:f t="shared" si="55"/>
        <x:v>5.4803536033193989E-2</x:v>
      </x:c>
      <x:c r="P62" s="55">
        <x:f t="shared" si="56"/>
        <x:v>0</x:v>
      </x:c>
      <x:c r="R62" s="47">
        <x:v>43677</x:v>
      </x:c>
      <x:c r="S62" s="50">
        <x:v>126695367.25</x:v>
      </x:c>
      <x:c r="T62" s="54">
        <x:f t="shared" si="32"/>
        <x:v>-2.0659697570433599</x:v>
      </x:c>
      <x:c r="U62" s="54">
        <x:f t="shared" si="39"/>
        <x:v>5.1757512784496029E-2</x:v>
      </x:c>
      <x:c r="V62" s="54">
        <x:f t="shared" si="47"/>
        <x:v>-0.26149389541468548</x:v>
      </x:c>
      <x:c r="W62" s="54">
        <x:f t="shared" si="40"/>
        <x:v>3.9584862784496029E-2</x:v>
      </x:c>
      <x:c r="X62" s="55">
        <x:f t="shared" si="48"/>
        <x:v>0</x:v>
      </x:c>
      <x:c r="Y62" s="47">
        <x:v>43677</x:v>
      </x:c>
      <x:c r="Z62" s="50">
        <x:v>84909672865.603394</x:v>
      </x:c>
      <x:c r="AA62" s="54">
        <x:f t="shared" si="33"/>
        <x:v>25.164853856230952</x:v>
      </x:c>
      <x:c r="AB62" s="54">
        <x:f t="shared" si="41"/>
        <x:v>2.3421412096190863E-2</x:v>
      </x:c>
      <x:c r="AC62" s="54">
        <x:f t="shared" si="49"/>
        <x:v>1.3577396632621221E-2</x:v>
      </x:c>
      <x:c r="AD62" s="54">
        <x:f t="shared" si="50"/>
        <x:v>-7.9239033208091288E-3</x:v>
      </x:c>
      <x:c r="AE62" s="55"/>
      <x:c r="AF62" s="47">
        <x:v>43677</x:v>
      </x:c>
      <x:c r="AG62" s="50">
        <x:v>29830910120.787601</x:v>
      </x:c>
      <x:c r="AH62" s="54">
        <x:f t="shared" si="34"/>
        <x:v>24.118810945258648</x:v>
      </x:c>
      <x:c r="AI62" s="54">
        <x:f t="shared" si="42"/>
        <x:v>-5.8104788583186462E-3</x:v>
      </x:c>
      <x:c r="AJ62" s="54">
        <x:f t="shared" si="53"/>
        <x:v>-7.6790325065621192E-3</x:v>
      </x:c>
      <x:c r="AK62" s="54">
        <x:f t="shared" si="43"/>
        <x:v>-8.8844788583186396E-3</x:v>
      </x:c>
      <x:c r="AL62" s="55">
        <x:f t="shared" si="35"/>
        <x:v>7.0077108312248948E-2</x:v>
      </x:c>
      <x:c r="AM62" s="47">
        <x:v>43677</x:v>
      </x:c>
      <x:c r="AN62" s="50">
        <x:v>248685648909.89499</x:v>
      </x:c>
      <x:c r="AO62" s="54">
        <x:f t="shared" si="36"/>
        <x:v>26.239455481667385</x:v>
      </x:c>
      <x:c r="AP62" s="54">
        <x:f t="shared" si="44"/>
        <x:v>9.3242237334933975E-3</x:v>
      </x:c>
      <x:c r="AQ62" s="54">
        <x:f t="shared" si="51"/>
        <x:v>2.2338112346403094E-3</x:v>
      </x:c>
      <x:c r="AR62" s="55">
        <x:f t="shared" si="52"/>
        <x:v>8.9051392404933972E-3</x:v>
      </x:c>
    </x:row>
    <x:row r="63">
      <x:c r="B63" s="47">
        <x:v>43708</x:v>
      </x:c>
      <x:c r="C63" s="50">
        <x:v>112615737520.79439</x:v>
      </x:c>
      <x:c r="D63" s="54">
        <x:f t="shared" si="30"/>
        <x:v>25.447247307724123</x:v>
      </x:c>
      <x:c r="E63" s="54">
        <x:f t="shared" si="37"/>
        <x:v>-4.0066594276957801E-2</x:v>
      </x:c>
      <x:c r="F63" s="54">
        <x:f t="shared" si="45"/>
        <x:v>-1.3036845658537601E-2</x:v>
      </x:c>
      <x:c r="G63" s="54">
        <x:f t="shared" si="46"/>
        <x:v>-5.2877594276957804E-2</x:v>
      </x:c>
      <x:c r="H63" s="55"/>
      <x:c r="J63" s="47">
        <x:v>43708</x:v>
      </x:c>
      <x:c r="K63" s="50">
        <x:v>678417637.5</x:v>
      </x:c>
      <x:c r="L63" s="54">
        <x:f t="shared" si="31"/>
        <x:v>-0.38799219616905439</x:v>
      </x:c>
      <x:c r="M63" s="54">
        <x:f t="shared" si="38"/>
        <x:v>2.2286286845679824</x:v>
      </x:c>
      <x:c r="N63" s="54">
        <x:f t="shared" si="54"/>
        <x:v>1.2122927951080524</x:v>
      </x:c>
      <x:c r="O63" s="54">
        <x:f t="shared" si="55"/>
        <x:v>2.2286286845679824</x:v>
      </x:c>
      <x:c r="P63" s="55">
        <x:f t="shared" si="56"/>
        <x:v>0</x:v>
      </x:c>
      <x:c r="R63" s="47">
        <x:v>43708</x:v>
      </x:c>
      <x:c r="S63" s="50">
        <x:v>119963946.25</x:v>
      </x:c>
      <x:c r="T63" s="54">
        <x:f t="shared" si="32"/>
        <x:v>-2.1205640292602754</x:v>
      </x:c>
      <x:c r="U63" s="54">
        <x:f t="shared" si="39"/>
        <x:v>-5.4594272216915485E-2</x:v>
      </x:c>
      <x:c r="V63" s="54">
        <x:f t="shared" si="47"/>
        <x:v>-0.34236621495449049</x:v>
      </x:c>
      <x:c r="W63" s="54">
        <x:f t="shared" si="40"/>
        <x:v>-6.6766922216915492E-2</x:v>
      </x:c>
      <x:c r="X63" s="55">
        <x:f t="shared" si="48"/>
        <x:v>0</x:v>
      </x:c>
      <x:c r="Y63" s="47">
        <x:v>43708</x:v>
      </x:c>
      <x:c r="Z63" s="50">
        <x:v>85287997312.441986</x:v>
      </x:c>
      <x:c r="AA63" s="54">
        <x:f t="shared" si="33"/>
        <x:v>25.169299570083023</x:v>
      </x:c>
      <x:c r="AB63" s="54">
        <x:f t="shared" si="41"/>
        <x:v>4.4457138520712647E-3</x:v>
      </x:c>
      <x:c r="AC63" s="54">
        <x:f t="shared" si="49"/>
        <x:v>-2.1536238336512213E-3</x:v>
      </x:c>
      <x:c r="AD63" s="54">
        <x:f t="shared" si="50"/>
        <x:v>-2.6899601564928731E-2</x:v>
      </x:c>
      <x:c r="AE63" s="55"/>
      <x:c r="AF63" s="47">
        <x:v>43708</x:v>
      </x:c>
      <x:c r="AG63" s="50">
        <x:v>26402896656.312599</x:v>
      </x:c>
      <x:c r="AH63" s="54">
        <x:f t="shared" si="34"/>
        <x:v>23.996739562909706</x:v>
      </x:c>
      <x:c r="AI63" s="54">
        <x:f t="shared" si="42"/>
        <x:v>-0.12207138234894188</x:v>
      </x:c>
      <x:c r="AJ63" s="54">
        <x:f t="shared" si="53"/>
        <x:v>-3.5297547681084923E-2</x:v>
      </x:c>
      <x:c r="AK63" s="54">
        <x:f t="shared" si="43"/>
        <x:v>-0.12514538234894187</x:v>
      </x:c>
      <x:c r="AL63" s="55">
        <x:f t="shared" si="35"/>
        <x:v>-5.5068274036692927E-2</x:v>
      </x:c>
      <x:c r="AM63" s="47">
        <x:v>43708</x:v>
      </x:c>
      <x:c r="AN63" s="50">
        <x:v>248690127890.29498</x:v>
      </x:c>
      <x:c r="AO63" s="54">
        <x:f t="shared" si="36"/>
        <x:v>26.239473492115859</x:v>
      </x:c>
      <x:c r="AP63" s="54">
        <x:f t="shared" si="44"/>
        <x:v>1.801044847482558E-5</x:v>
      </x:c>
      <x:c r="AQ63" s="54">
        <x:f t="shared" si="51"/>
        <x:v>1.0556408504492705E-3</x:v>
      </x:c>
      <x:c r="AR63" s="55">
        <x:f t="shared" si="52"/>
        <x:v>-4.0107404452517431E-4</x:v>
      </x:c>
    </x:row>
    <x:row r="64">
      <x:c r="B64" s="47">
        <x:v>43738</x:v>
      </x:c>
      <x:c r="C64" s="50">
        <x:v>110469603999.21179</x:v>
      </x:c>
      <x:c r="D64" s="54">
        <x:f t="shared" si="30"/>
        <x:v>25.42800624313341</x:v>
      </x:c>
      <x:c r="E64" s="54">
        <x:f t="shared" si="37"/>
        <x:v>-1.9241064590712398E-2</x:v>
      </x:c>
      <x:c r="F64" s="54">
        <x:f t="shared" si="45"/>
        <x:v>-3.1370879940215313E-2</x:v>
      </x:c>
      <x:c r="G64" s="54">
        <x:f t="shared" si="46"/>
        <x:v>-3.2052064590712401E-2</x:v>
      </x:c>
      <x:c r="H64" s="55"/>
      <x:c r="J64" s="47">
        <x:v>43738</x:v>
      </x:c>
      <x:c r="K64" s="50">
        <x:v>1122087540.75</x:v>
      </x:c>
      <x:c r="L64" s="54">
        <x:f t="shared" si="31"/>
        <x:v>0.11519082611576553</x:v>
      </x:c>
      <x:c r="M64" s="54">
        <x:f t="shared" si="38"/>
        <x:v>0.50318302228481993</x:v>
      </x:c>
      <x:c r="N64" s="54">
        <x:f t="shared" si="54"/>
        <x:v>0.47810649805793048</x:v>
      </x:c>
      <x:c r="O64" s="54">
        <x:f t="shared" si="55"/>
        <x:v>0.5031830222848197</x:v>
      </x:c>
      <x:c r="P64" s="55">
        <x:f t="shared" si="56"/>
        <x:v>0</x:v>
      </x:c>
      <x:c r="R64" s="47">
        <x:v>43738</x:v>
      </x:c>
      <x:c r="S64" s="50">
        <x:v>117330698.25</x:v>
      </x:c>
      <x:c r="T64" s="54">
        <x:f t="shared" si="32"/>
        <x:v>-2.1427588504009272</x:v>
      </x:c>
      <x:c r="U64" s="54">
        <x:f t="shared" si="39"/>
        <x:v>-2.2194821140651744E-2</x:v>
      </x:c>
      <x:c r="V64" s="54">
        <x:f t="shared" si="47"/>
        <x:v>-0.3618551909792746</x:v>
      </x:c>
      <x:c r="W64" s="54">
        <x:f t="shared" si="40"/>
        <x:v>-3.4367471140651744E-2</x:v>
      </x:c>
      <x:c r="X64" s="55">
        <x:f t="shared" si="48"/>
        <x:v>0</x:v>
      </x:c>
      <x:c r="Y64" s="47">
        <x:v>43738</x:v>
      </x:c>
      <x:c r="Z64" s="50">
        <x:v>84420167990.570099</x:v>
      </x:c>
      <x:c r="AA64" s="54">
        <x:f t="shared" si="33"/>
        <x:v>25.159072167236832</x:v>
      </x:c>
      <x:c r="AB64" s="54">
        <x:f t="shared" si="41"/>
        <x:v>-1.0227402846190614E-2</x:v>
      </x:c>
      <x:c r="AC64" s="54">
        <x:f t="shared" si="49"/>
        <x:v>-4.2834489582178406E-2</x:v>
      </x:c>
      <x:c r="AD64" s="54">
        <x:f t="shared" si="50"/>
        <x:v>-4.157271826319061E-2</x:v>
      </x:c>
      <x:c r="AE64" s="55"/>
      <x:c r="AF64" s="47">
        <x:v>43738</x:v>
      </x:c>
      <x:c r="AG64" s="50">
        <x:v>26503619669.4856</x:v>
      </x:c>
      <x:c r="AH64" s="54">
        <x:f t="shared" si="34"/>
        <x:v>24.000547151912187</x:v>
      </x:c>
      <x:c r="AI64" s="54">
        <x:f t="shared" si="42"/>
        <x:v>3.8075890024806824E-3</x:v>
      </x:c>
      <x:c r="AJ64" s="54">
        <x:f t="shared" si="53"/>
        <x:v>-2.6610342728689767E-2</x:v>
      </x:c>
      <x:c r="AK64" s="54">
        <x:f t="shared" si="43"/>
        <x:v>7.3358900248068903E-4</x:v>
      </x:c>
      <x:c r="AL64" s="55">
        <x:f t="shared" si="35"/>
        <x:v>-5.4334685034212238E-2</x:v>
      </x:c>
      <x:c r="AM64" s="47">
        <x:v>43738</x:v>
      </x:c>
      <x:c r="AN64" s="50">
        <x:v>250018497258.54498</x:v>
      </x:c>
      <x:c r="AO64" s="54">
        <x:f t="shared" si="36"/>
        <x:v>26.244800741105784</x:v>
      </x:c>
      <x:c r="AP64" s="54">
        <x:f t="shared" si="44"/>
        <x:v>5.327248989924982E-3</x:v>
      </x:c>
      <x:c r="AQ64" s="54">
        <x:f t="shared" si="51"/>
        <x:v>8.550000850019771E-4</x:v>
      </x:c>
      <x:c r="AR64" s="55">
        <x:f t="shared" si="52"/>
        <x:v>4.9081644969249825E-3</x:v>
      </x:c>
    </x:row>
    <x:row r="65">
      <x:c r="B65" s="47">
        <x:v>43769</x:v>
      </x:c>
      <x:c r="C65" s="50">
        <x:v>100997679648.28</x:v>
      </x:c>
      <x:c r="D65" s="54">
        <x:f t="shared" si="30"/>
        <x:v>25.338363379744365</x:v>
      </x:c>
      <x:c r="E65" s="54">
        <x:f t="shared" si="37"/>
        <x:v>-8.9642863389045147E-2</x:v>
      </x:c>
      <x:c r="F65" s="54">
        <x:f t="shared" si="45"/>
        <x:v>-0.11704444199005758</x:v>
      </x:c>
      <x:c r="G65" s="54">
        <x:f t="shared" si="46"/>
        <x:v>-0.10245386338904515</x:v>
      </x:c>
      <x:c r="H65" s="55"/>
      <x:c r="J65" s="47">
        <x:v>43769</x:v>
      </x:c>
      <x:c r="K65" s="50">
        <x:v>1130673504.75</x:v>
      </x:c>
      <x:c r="L65" s="54">
        <x:f t="shared" si="31"/>
        <x:v>0.12281347707639573</x:v>
      </x:c>
      <x:c r="M65" s="54">
        <x:f t="shared" si="38"/>
        <x:v>7.6226509606301951E-3</x:v>
      </x:c>
      <x:c r="N65" s="54">
        <x:f t="shared" si="54"/>
        <x:v>0.29777667208513081</x:v>
      </x:c>
      <x:c r="O65" s="54">
        <x:f t="shared" si="55"/>
        <x:v>7.6226509606301951E-3</x:v>
      </x:c>
      <x:c r="P65" s="55">
        <x:f t="shared" si="56"/>
        <x:v>0</x:v>
      </x:c>
      <x:c r="R65" s="47">
        <x:v>43769</x:v>
      </x:c>
      <x:c r="S65" s="50">
        <x:v>419781604.25</x:v>
      </x:c>
      <x:c r="T65" s="54">
        <x:f t="shared" si="32"/>
        <x:v>-0.86802069282729843</x:v>
      </x:c>
      <x:c r="U65" s="54">
        <x:f t="shared" si="39"/>
        <x:v>1.2747381575736287</x:v>
      </x:c>
      <x:c r="V65" s="54">
        <x:f t="shared" si="47"/>
        <x:v>0.90675903790758428</x:v>
      </x:c>
      <x:c r="W65" s="54">
        <x:f t="shared" si="40"/>
        <x:v>1.2625655075736288</x:v>
      </x:c>
      <x:c r="X65" s="55">
        <x:f t="shared" si="48"/>
        <x:v>0</x:v>
      </x:c>
      <x:c r="Y65" s="47">
        <x:v>43769</x:v>
      </x:c>
      <x:c r="Z65" s="50">
        <x:v>84880862738.508286</x:v>
      </x:c>
      <x:c r="AA65" s="54">
        <x:f t="shared" si="33"/>
        <x:v>25.164514495414767</x:v>
      </x:c>
      <x:c r="AB65" s="54">
        <x:f t="shared" si="41"/>
        <x:v>5.4423281779349963E-3</x:v>
      </x:c>
      <x:c r="AC65" s="54">
        <x:f t="shared" si="49"/>
        <x:v>-1.4602825264595514E-2</x:v>
      </x:c>
      <x:c r="AD65" s="54">
        <x:f t="shared" si="50"/>
        <x:v>-2.5902987239064999E-2</x:v>
      </x:c>
      <x:c r="AE65" s="55"/>
      <x:c r="AF65" s="47">
        <x:v>43769</x:v>
      </x:c>
      <x:c r="AG65" s="50">
        <x:v>26895679337.381401</x:v>
      </x:c>
      <x:c r="AH65" s="54">
        <x:f t="shared" si="34"/>
        <x:v>24.015231491225322</x:v>
      </x:c>
      <x:c r="AI65" s="54">
        <x:f t="shared" si="42"/>
        <x:v>1.4684339313134842E-2</x:v>
      </x:c>
      <x:c r="AJ65" s="54">
        <x:f t="shared" si="53"/>
        <x:v>-9.7735554635023265E-3</x:v>
      </x:c>
      <x:c r="AK65" s="54">
        <x:f t="shared" si="43"/>
        <x:v>1.1610339313134821E-2</x:v>
      </x:c>
      <x:c r="AL65" s="55">
        <x:f t="shared" si="35"/>
        <x:v>-4.2724345721077417E-2</x:v>
      </x:c>
      <x:c r="AM65" s="47">
        <x:v>43769</x:v>
      </x:c>
      <x:c r="AN65" s="50">
        <x:v>251655704534.04498</x:v>
      </x:c>
      <x:c r="AO65" s="54">
        <x:f t="shared" si="36"/>
        <x:v>26.251327738435776</x:v>
      </x:c>
      <x:c r="AP65" s="54">
        <x:f t="shared" si="44"/>
        <x:v>6.526997329991957E-3</x:v>
      </x:c>
      <x:c r="AQ65" s="54">
        <x:f t="shared" si="51"/>
        <x:v>1.3641922693072399E-3</x:v>
      </x:c>
      <x:c r="AR65" s="55">
        <x:f t="shared" si="52"/>
        <x:v>6.1079128369919584E-3</x:v>
      </x:c>
    </x:row>
    <x:row r="66">
      <x:c r="B66" s="47">
        <x:v>43799</x:v>
      </x:c>
      <x:c r="C66" s="50">
        <x:v>118582803142.8096</x:v>
      </x:c>
      <x:c r="D66" s="54">
        <x:f t="shared" si="30"/>
        <x:v>25.498877314200822</x:v>
      </x:c>
      <x:c r="E66" s="54">
        <x:f t="shared" si="37"/>
        <x:v>0.16051393445645701</x:v>
      </x:c>
      <x:c r="F66" s="54">
        <x:f t="shared" si="45"/>
        <x:v>9.6831895150211955E-2</x:v>
      </x:c>
      <x:c r="G66" s="54">
        <x:f t="shared" si="46"/>
        <x:v>0.14770293445645702</x:v>
      </x:c>
      <x:c r="H66" s="55"/>
      <x:c r="J66" s="47">
        <x:v>43799</x:v>
      </x:c>
      <x:c r="K66" s="50">
        <x:v>873463187.75</x:v>
      </x:c>
      <x:c r="L66" s="54">
        <x:f t="shared" si="31"/>
        <x:v>-0.13528929368474965</x:v>
      </x:c>
      <x:c r="M66" s="54">
        <x:f t="shared" si="38"/>
        <x:v>-0.25810277076114541</x:v>
      </x:c>
      <x:c r="N66" s="54">
        <x:f t="shared" si="54"/>
        <x:v>0.54483195140750085</x:v>
      </x:c>
      <x:c r="O66" s="54">
        <x:f t="shared" si="55"/>
        <x:v>-0.25810277076114546</x:v>
      </x:c>
      <x:c r="P66" s="55">
        <x:f t="shared" si="56"/>
        <x:v>0</x:v>
      </x:c>
      <x:c r="R66" s="47">
        <x:v>43799</x:v>
      </x:c>
      <x:c r="S66" s="50">
        <x:v>445012535.25</x:v>
      </x:c>
      <x:c r="T66" s="54">
        <x:f t="shared" si="32"/>
        <x:v>-0.80965282811151496</x:v>
      </x:c>
      <x:c r="U66" s="54">
        <x:f t="shared" si="39"/>
        <x:v>5.836786471578348E-2</x:v>
      </x:c>
      <x:c r="V66" s="54">
        <x:f t="shared" si="47"/>
        <x:v>0.60555177464706311</x:v>
      </x:c>
      <x:c r="W66" s="54">
        <x:f t="shared" si="40"/>
        <x:v>4.6195214715783479E-2</x:v>
      </x:c>
      <x:c r="X66" s="55">
        <x:f t="shared" si="48"/>
        <x:v>0</x:v>
      </x:c>
      <x:c r="Y66" s="47">
        <x:v>43799</x:v>
      </x:c>
      <x:c r="Z66" s="50">
        <x:v>84477687662.766907</x:v>
      </x:c>
      <x:c r="AA66" s="54">
        <x:f t="shared" si="33"/>
        <x:v>25.159753285113649</x:v>
      </x:c>
      <x:c r="AB66" s="54">
        <x:f t="shared" si="41"/>
        <x:v>-4.7612103011189788E-3</x:v>
      </x:c>
      <x:c r="AC66" s="54">
        <x:f t="shared" si="49"/>
        <x:v>-1.7792659758945402E-2</x:v>
      </x:c>
      <x:c r="AD66" s="54">
        <x:f t="shared" si="50"/>
        <x:v>-3.6106525718118967E-2</x:v>
      </x:c>
      <x:c r="AE66" s="55"/>
      <x:c r="AF66" s="47">
        <x:v>43799</x:v>
      </x:c>
      <x:c r="AG66" s="50">
        <x:v>27624752980.851002</x:v>
      </x:c>
      <x:c r="AH66" s="54">
        <x:f t="shared" si="34"/>
        <x:v>24.041978054874701</x:v>
      </x:c>
      <x:c r="AI66" s="54">
        <x:f t="shared" si="42"/>
        <x:v>2.6746563649378885E-2</x:v>
      </x:c>
      <x:c r="AJ66" s="54">
        <x:f t="shared" si="53"/>
        <x:v>2.013341702511345E-2</x:v>
      </x:c>
      <x:c r="AK66" s="54">
        <x:f t="shared" si="43"/>
        <x:v>2.3672563649378892E-2</x:v>
      </x:c>
      <x:c r="AL66" s="55">
        <x:f t="shared" si="35"/>
        <x:v>-1.9051782071698525E-2</x:v>
      </x:c>
      <x:c r="AM66" s="47">
        <x:v>43799</x:v>
      </x:c>
      <x:c r="AN66" s="50">
        <x:v>251884911205.04498</x:v>
      </x:c>
      <x:c r="AO66" s="54">
        <x:f t="shared" si="36"/>
        <x:v>26.252238118570627</x:v>
      </x:c>
      <x:c r="AP66" s="54">
        <x:f t="shared" si="44"/>
        <x:v>9.1038013485089664E-4</x:v>
      </x:c>
      <x:c r="AQ66" s="54">
        <x:f t="shared" si="51"/>
        <x:v>3.5024804303116115E-4</x:v>
      </x:c>
      <x:c r="AR66" s="55">
        <x:f t="shared" si="52"/>
        <x:v>4.9129564185089632E-4</x:v>
      </x:c>
    </x:row>
    <x:row r="67">
      <x:c r="B67" s="47">
        <x:v>43830</x:v>
      </x:c>
      <x:c r="C67" s="50">
        <x:v>131782159902.651</x:v>
      </x:c>
      <x:c r="D67" s="54">
        <x:f t="shared" si="30"/>
        <x:v>25.604416092513663</x:v>
      </x:c>
      <x:c r="E67" s="54">
        <x:f t="shared" si="37"/>
        <x:v>0.10553877831284098</x:v>
      </x:c>
      <x:c r="F67" s="54">
        <x:f t="shared" si="45"/>
        <x:v>0.10528377975526768</x:v>
      </x:c>
      <x:c r="G67" s="54">
        <x:f t="shared" si="46"/>
        <x:v>9.2727778312840958E-2</x:v>
      </x:c>
      <x:c r="H67" s="55"/>
      <x:c r="J67" s="47">
        <x:v>43830</x:v>
      </x:c>
      <x:c r="K67" s="50">
        <x:v>31544042.75</x:v>
      </x:c>
      <x:c r="L67" s="54">
        <x:f t="shared" si="31"/>
        <x:v>-3.4563705271579197</x:v>
      </x:c>
      <x:c r="M67" s="54">
        <x:f t="shared" si="38"/>
        <x:v>-3.3210812334731701</x:v>
      </x:c>
      <x:c r="N67" s="54">
        <x:f t="shared" si="54"/>
        <x:v>-2.8296197506639995</x:v>
      </x:c>
      <x:c r="O67" s="54">
        <x:f t="shared" si="55"/>
        <x:v>-3.3210812334731701</x:v>
      </x:c>
      <x:c r="P67" s="55">
        <x:f t="shared" si="56"/>
        <x:v>0</x:v>
      </x:c>
      <x:c r="R67" s="47">
        <x:v>43830</x:v>
      </x:c>
      <x:c r="S67" s="50">
        <x:v>153430598.25</x:v>
      </x:c>
      <x:c r="T67" s="54">
        <x:f t="shared" si="32"/>
        <x:v>-1.8745069428603636</x:v>
      </x:c>
      <x:c r="U67" s="54">
        <x:f t="shared" si="39"/>
        <x:v>-1.0648541147488486</x:v>
      </x:c>
      <x:c r="V67" s="54">
        <x:f t="shared" si="47"/>
        <x:v>-0.48738189672098087</x:v>
      </x:c>
      <x:c r="W67" s="54">
        <x:f t="shared" si="40"/>
        <x:v>-1.0770267647488485</x:v>
      </x:c>
      <x:c r="X67" s="55">
        <x:f t="shared" si="48"/>
        <x:v>0</x:v>
      </x:c>
      <x:c r="Y67" s="47">
        <x:v>43830</x:v>
      </x:c>
      <x:c r="Z67" s="50">
        <x:v>93329353524.085205</x:v>
      </x:c>
      <x:c r="AA67" s="54">
        <x:f t="shared" si="33"/>
        <x:v>25.259400509725033</x:v>
      </x:c>
      <x:c r="AB67" s="54">
        <x:f t="shared" si="41"/>
        <x:v>9.9647224611384644E-2</x:v>
      </x:c>
      <x:c r="AC67" s="54">
        <x:f t="shared" si="49"/>
        <x:v>5.4366961416021764E-2</x:v>
      </x:c>
      <x:c r="AD67" s="54">
        <x:f t="shared" si="50"/>
        <x:v>6.8301909194384641E-2</x:v>
      </x:c>
      <x:c r="AE67" s="55"/>
      <x:c r="AF67" s="47">
        <x:v>43830</x:v>
      </x:c>
      <x:c r="AG67" s="50">
        <x:v>25026025973.882999</x:v>
      </x:c>
      <x:c r="AH67" s="54">
        <x:f t="shared" si="34"/>
        <x:v>23.943182159264666</x:v>
      </x:c>
      <x:c r="AI67" s="54">
        <x:f t="shared" si="42"/>
        <x:v>-9.8795895610034989E-2</x:v>
      </x:c>
      <x:c r="AJ67" s="54">
        <x:f t="shared" si="53"/>
        <x:v>-3.8405736541520907E-2</x:v>
      </x:c>
      <x:c r="AK67" s="54">
        <x:f t="shared" si="43"/>
        <x:v>-0.10186989561003498</x:v>
      </x:c>
      <x:c r="AL67" s="55">
        <x:f t="shared" si="35"/>
        <x:v>-0.12092167768173351</x:v>
      </x:c>
      <x:c r="AM67" s="47">
        <x:v>43830</x:v>
      </x:c>
      <x:c r="AN67" s="50">
        <x:v>257714051596.54498</x:v>
      </x:c>
      <x:c r="AO67" s="54">
        <x:f t="shared" si="36"/>
        <x:v>26.275116480074129</x:v>
      </x:c>
      <x:c r="AP67" s="54">
        <x:f t="shared" si="44"/>
        <x:v>2.287836150350131E-2</x:v>
      </x:c>
      <x:c r="AQ67" s="54">
        <x:f t="shared" si="51"/>
        <x:v>5.0361494821699136E-3</x:v>
      </x:c>
      <x:c r="AR67" s="55">
        <x:f t="shared" si="52"/>
        <x:v>2.2459277010501315E-2</x:v>
      </x:c>
    </x:row>
    <x:row r="68">
      <x:c r="B68" s="47">
        <x:v>43861</x:v>
      </x:c>
      <x:c r="C68" s="50">
        <x:v>122354309961.50011</x:v>
      </x:c>
      <x:c r="D68" s="54">
        <x:f t="shared" si="30"/>
        <x:v>25.530186852708319</x:v>
      </x:c>
      <x:c r="E68" s="54">
        <x:f t="shared" si="37"/>
        <x:v>-7.4229239805344349E-2</x:v>
      </x:c>
      <x:c r="F68" s="54">
        <x:f t="shared" si="45"/>
        <x:v>-2.7111638364201857E-2</x:v>
      </x:c>
      <x:c r="G68" s="54">
        <x:f t="shared" si="46"/>
        <x:v>-8.7040239805344366E-2</x:v>
      </x:c>
      <x:c r="H68" s="55"/>
      <x:c r="J68" s="47">
        <x:v>43861</x:v>
      </x:c>
      <x:c r="K68" s="50">
        <x:v>95282860.75</x:v>
      </x:c>
      <x:c r="L68" s="54">
        <x:f t="shared" si="31"/>
        <x:v>-2.3509053297216758</x:v>
      </x:c>
      <x:c r="M68" s="54">
        <x:f t="shared" si="38"/>
        <x:v>1.1054651974362439</x:v>
      </x:c>
      <x:c r="N68" s="54">
        <x:f t="shared" si="54"/>
        <x:v>0.16433212921789986</x:v>
      </x:c>
      <x:c r="O68" s="54">
        <x:f t="shared" si="55"/>
        <x:v>1.1054651974362442</x:v>
      </x:c>
      <x:c r="P68" s="55">
        <x:f t="shared" si="56"/>
        <x:v>0</x:v>
      </x:c>
      <x:c r="R68" s="47">
        <x:v>43861</x:v>
      </x:c>
      <x:c r="S68" s="50">
        <x:v>177894216.25</x:v>
      </x:c>
      <x:c r="T68" s="54">
        <x:f t="shared" si="32"/>
        <x:v>-1.7265661960811205</x:v>
      </x:c>
      <x:c r="U68" s="54">
        <x:f t="shared" si="39"/>
        <x:v>0.14794074677924307</x:v>
      </x:c>
      <x:c r="V68" s="54">
        <x:f t="shared" si="47"/>
        <x:v>-6.1410705330406212E-2</x:v>
      </x:c>
      <x:c r="W68" s="54">
        <x:f t="shared" si="40"/>
        <x:v>0.13576809677924306</x:v>
      </x:c>
      <x:c r="X68" s="55">
        <x:f t="shared" si="48"/>
        <x:v>0</x:v>
      </x:c>
      <x:c r="Y68" s="47">
        <x:v>43861</x:v>
      </x:c>
      <x:c r="Z68" s="50">
        <x:v>88526568718.437103</x:v>
      </x:c>
      <x:c r="AA68" s="54">
        <x:f t="shared" si="33"/>
        <x:v>25.2065685554136</x:v>
      </x:c>
      <x:c r="AB68" s="54">
        <x:f t="shared" si="41"/>
        <x:v>-5.2831954311432838E-2</x:v>
      </x:c>
      <x:c r="AC68" s="54">
        <x:f t="shared" si="49"/>
        <x:v>-3.1049184452210051E-2</x:v>
      </x:c>
      <x:c r="AD68" s="54">
        <x:f t="shared" si="50"/>
        <x:v>-8.4177269728432841E-2</x:v>
      </x:c>
      <x:c r="AE68" s="55"/>
      <x:c r="AF68" s="47">
        <x:v>43861</x:v>
      </x:c>
      <x:c r="AG68" s="50">
        <x:v>26257302835.744598</x:v>
      </x:c>
      <x:c r="AH68" s="54">
        <x:f t="shared" si="34"/>
        <x:v>23.991209990559152</x:v>
      </x:c>
      <x:c r="AI68" s="54">
        <x:f t="shared" si="42"/>
        <x:v>4.8027831294486845E-2</x:v>
      </x:c>
      <x:c r="AJ68" s="54">
        <x:f t="shared" si="53"/>
        <x:v>1.2669465811183705E-2</x:v>
      </x:c>
      <x:c r="AK68" s="54">
        <x:f t="shared" si="43"/>
        <x:v>4.4953831294486851E-2</x:v>
      </x:c>
      <x:c r="AL68" s="55">
        <x:f t="shared" si="35"/>
        <x:v>-7.5967846387246657E-2</x:v>
      </x:c>
      <x:c r="AM68" s="47">
        <x:v>43861</x:v>
      </x:c>
      <x:c r="AN68" s="50">
        <x:v>263019596130.29498</x:v>
      </x:c>
      <x:c r="AO68" s="54">
        <x:f t="shared" si="36"/>
        <x:v>26.295494376349566</x:v>
      </x:c>
      <x:c r="AP68" s="54">
        <x:f t="shared" si="44"/>
        <x:v>2.0377896275437735E-2</x:v>
      </x:c>
      <x:c r="AQ68" s="54">
        <x:f t="shared" si="51"/>
        <x:v>1.0470250397255323E-2</x:v>
      </x:c>
      <x:c r="AR68" s="55">
        <x:f t="shared" si="52"/>
        <x:v>1.9958811782437733E-2</x:v>
      </x:c>
    </x:row>
    <x:row r="69">
      <x:c r="B69" s="47">
        <x:v>43890</x:v>
      </x:c>
      <x:c r="C69" s="50">
        <x:v>130605570212.9133</x:v>
      </x:c>
      <x:c r="D69" s="54">
        <x:f t="shared" si="30"/>
        <x:v>25.595447703820358</x:v>
      </x:c>
      <x:c r="E69" s="54">
        <x:f t="shared" si="37"/>
        <x:v>6.526085111203983E-2</x:v>
      </x:c>
      <x:c r="F69" s="54">
        <x:f t="shared" si="45"/>
        <x:v>6.3908759307548052E-2</x:v>
      </x:c>
      <x:c r="G69" s="54">
        <x:f t="shared" si="46"/>
        <x:v>5.2449851112039834E-2</x:v>
      </x:c>
      <x:c r="H69" s="55"/>
      <x:c r="J69" s="47">
        <x:v>43890</x:v>
      </x:c>
      <x:c r="K69" s="50">
        <x:v>68118723.75</x:v>
      </x:c>
      <x:c r="L69" s="54">
        <x:f t="shared" si="31"/>
        <x:v>-2.6865031586831813</x:v>
      </x:c>
      <x:c r="M69" s="54">
        <x:f t="shared" si="38"/>
        <x:v>-0.33559782896150558</x:v>
      </x:c>
      <x:c r="N69" s="54">
        <x:f t="shared" si="54"/>
        <x:v>-0.78668183391394364</x:v>
      </x:c>
      <x:c r="O69" s="54">
        <x:f t="shared" si="55"/>
        <x:v>-0.33559782896150553</x:v>
      </x:c>
      <x:c r="P69" s="55">
        <x:f t="shared" si="56"/>
        <x:v>0</x:v>
      </x:c>
      <x:c r="R69" s="47">
        <x:v>43890</x:v>
      </x:c>
      <x:c r="S69" s="50">
        <x:v>189872897.25</x:v>
      </x:c>
      <x:c r="T69" s="54">
        <x:f t="shared" si="32"/>
        <x:v>-1.6614003925185683</x:v>
      </x:c>
      <x:c r="U69" s="54">
        <x:f t="shared" si="39"/>
        <x:v>6.5165803562552194E-2</x:v>
      </x:c>
      <x:c r="V69" s="54">
        <x:f t="shared" si="47"/>
        <x:v>-4.8735621576480967E-2</x:v>
      </x:c>
      <x:c r="W69" s="54">
        <x:f t="shared" si="40"/>
        <x:v>5.2993153562552194E-2</x:v>
      </x:c>
      <x:c r="X69" s="55">
        <x:f t="shared" si="48"/>
        <x:v>0</x:v>
      </x:c>
      <x:c r="Y69" s="47">
        <x:v>43890</x:v>
      </x:c>
      <x:c r="Z69" s="50">
        <x:v>90478946646.267502</x:v>
      </x:c>
      <x:c r="AA69" s="54">
        <x:f t="shared" si="33"/>
        <x:v>25.228383026845965</x:v>
      </x:c>
      <x:c r="AB69" s="54">
        <x:f t="shared" si="41"/>
        <x:v>2.1814471432364257E-2</x:v>
      </x:c>
      <x:c r="AC69" s="54">
        <x:f t="shared" si="49"/>
        <x:v>5.3962815611976831E-3</x:v>
      </x:c>
      <x:c r="AD69" s="54">
        <x:f t="shared" si="50"/>
        <x:v>-9.5308439846357399E-3</x:v>
      </x:c>
      <x:c r="AE69" s="55"/>
      <x:c r="AF69" s="47">
        <x:v>43890</x:v>
      </x:c>
      <x:c r="AG69" s="50">
        <x:v>27676837356.5923</x:v>
      </x:c>
      <x:c r="AH69" s="54">
        <x:f t="shared" si="34"/>
        <x:v>24.043861703819466</x:v>
      </x:c>
      <x:c r="AI69" s="54">
        <x:f t="shared" si="42"/>
        <x:v>5.2651713260313926E-2</x:v>
      </x:c>
      <x:c r="AJ69" s="54">
        <x:f t="shared" si="53"/>
        <x:v>2.1146337718500864E-2</x:v>
      </x:c>
      <x:c r="AK69" s="54">
        <x:f t="shared" si="43"/>
        <x:v>4.9577713260313905E-2</x:v>
      </x:c>
      <x:c r="AL69" s="55">
        <x:f t="shared" si="35"/>
        <x:v>-2.6390133126932752E-2</x:v>
      </x:c>
      <x:c r="AM69" s="47">
        <x:v>43890</x:v>
      </x:c>
      <x:c r="AN69" s="50">
        <x:v>265530978687.94498</x:v>
      </x:c>
      <x:c r="AO69" s="54">
        <x:f t="shared" si="36"/>
        <x:v>26.30499735137899</x:v>
      </x:c>
      <x:c r="AP69" s="54">
        <x:f t="shared" si="44"/>
        <x:v>9.5029750294237658E-3</x:v>
      </x:c>
      <x:c r="AQ69" s="54">
        <x:f t="shared" si="51"/>
        <x:v>8.0933977242656756E-3</x:v>
      </x:c>
      <x:c r="AR69" s="55">
        <x:f t="shared" si="52"/>
        <x:v>9.0838905364237655E-3</x:v>
      </x:c>
    </x:row>
    <x:row r="70">
      <x:c r="B70" s="47">
        <x:v>43921</x:v>
      </x:c>
      <x:c r="C70" s="50">
        <x:v>130826091324.332</x:v>
      </x:c>
      <x:c r="D70" s="54">
        <x:f t="shared" si="30"/>
        <x:v>25.597134731033691</x:v>
      </x:c>
      <x:c r="E70" s="54">
        <x:f t="shared" si="37"/>
        <x:v>1.6870272133324704E-3</x:v>
      </x:c>
      <x:c r="F70" s="54">
        <x:f t="shared" si="45"/>
        <x:v>7.5166622485823686E-3</x:v>
      </x:c>
      <x:c r="G70" s="54">
        <x:f t="shared" si="46"/>
        <x:v>-1.1123972786667531E-2</x:v>
      </x:c>
      <x:c r="H70" s="55"/>
      <x:c r="J70" s="47">
        <x:v>43921</x:v>
      </x:c>
      <x:c r="K70" s="50">
        <x:v>98717673</x:v>
      </x:c>
      <x:c r="L70" s="54">
        <x:f t="shared" si="31"/>
        <x:v>-2.3154912908208667</x:v>
      </x:c>
      <x:c r="M70" s="54">
        <x:f t="shared" si="38"/>
        <x:v>0.37101186786231466</x:v>
      </x:c>
      <x:c r="N70" s="54">
        <x:f t="shared" si="54"/>
        <x:v>-7.9524956122484447E-2</x:v>
      </x:c>
      <x:c r="O70" s="54">
        <x:f t="shared" si="55"/>
        <x:v>0.37101186786231471</x:v>
      </x:c>
      <x:c r="P70" s="55">
        <x:f t="shared" si="56"/>
        <x:v>0</x:v>
      </x:c>
      <x:c r="R70" s="47">
        <x:v>43921</x:v>
      </x:c>
      <x:c r="S70" s="50">
        <x:v>56879462.75</x:v>
      </x:c>
      <x:c r="T70" s="54">
        <x:f t="shared" si="32"/>
        <x:v>-2.866820938855247</x:v>
      </x:c>
      <x:c r="U70" s="54">
        <x:f t="shared" si="39"/>
        <x:v>-1.2054205463366787</x:v>
      </x:c>
      <x:c r="V70" s="54">
        <x:f t="shared" si="47"/>
        <x:v>-1.2840883566093566</x:v>
      </x:c>
      <x:c r="W70" s="54">
        <x:f t="shared" si="40"/>
        <x:v>-1.2175931963366786</x:v>
      </x:c>
      <x:c r="X70" s="55">
        <x:f t="shared" si="48"/>
        <x:v>0</x:v>
      </x:c>
      <x:c r="Y70" s="47">
        <x:v>43921</x:v>
      </x:c>
      <x:c r="Z70" s="50">
        <x:v>88518716673.057495</x:v>
      </x:c>
      <x:c r="AA70" s="54">
        <x:f t="shared" si="33"/>
        <x:v>25.206479854431056</x:v>
      </x:c>
      <x:c r="AB70" s="54">
        <x:f t="shared" si="41"/>
        <x:v>-2.1903172414909022E-2</x:v>
      </x:c>
      <x:c r="AC70" s="54">
        <x:f t="shared" si="49"/>
        <x:v>-3.589566710236456E-2</x:v>
      </x:c>
      <x:c r="AD70" s="54">
        <x:f t="shared" si="50"/>
        <x:v>-5.3248487831909025E-2</x:v>
      </x:c>
      <x:c r="AE70" s="55"/>
      <x:c r="AF70" s="47">
        <x:v>43921</x:v>
      </x:c>
      <x:c r="AG70" s="50">
        <x:v>28931229958.998901</x:v>
      </x:c>
      <x:c r="AH70" s="54">
        <x:f t="shared" si="34"/>
        <x:v>24.088187470032409</x:v>
      </x:c>
      <x:c r="AI70" s="54">
        <x:f t="shared" si="42"/>
        <x:v>4.4325766212942597E-2</x:v>
      </x:c>
      <x:c r="AJ70" s="54">
        <x:f t="shared" si="53"/>
        <x:v>6.8137638304834941E-3</x:v>
      </x:c>
      <x:c r="AK70" s="54">
        <x:f t="shared" si="43"/>
        <x:v>4.1251766212942603E-2</x:v>
      </x:c>
      <x:c r="AL70" s="55">
        <x:f t="shared" si="35"/>
        <x:v>1.4861633086009851E-2</x:v>
      </x:c>
      <x:c r="AM70" s="47">
        <x:v>43921</x:v>
      </x:c>
      <x:c r="AN70" s="50">
        <x:v>266103889595.44498</x:v>
      </x:c>
      <x:c r="AO70" s="54">
        <x:f t="shared" si="36"/>
        <x:v>26.307152631867364</x:v>
      </x:c>
      <x:c r="AP70" s="54">
        <x:f t="shared" si="44"/>
        <x:v>2.1552804883739896E-3</x:v>
      </x:c>
      <x:c r="AQ70" s="54">
        <x:f t="shared" si="51"/>
        <x:v>-4.9415623894448106E-3</x:v>
      </x:c>
      <x:c r="AR70" s="55">
        <x:f t="shared" si="52"/>
        <x:v>1.7361959953739892E-3</x:v>
      </x:c>
    </x:row>
    <x:row r="71">
      <x:c r="B71" s="47">
        <x:v>43951</x:v>
      </x:c>
      <x:c r="C71" s="50">
        <x:v>132850349201.79199</x:v>
      </x:c>
      <x:c r="D71" s="54">
        <x:f t="shared" si="30"/>
        <x:v>25.612489137690684</x:v>
      </x:c>
      <x:c r="E71" s="54">
        <x:f t="shared" si="37"/>
        <x:v>1.5354406656992836E-2</x:v>
      </x:c>
      <x:c r="F71" s="54">
        <x:f t="shared" si="45"/>
        <x:v>1.859193998962123E-2</x:v>
      </x:c>
      <x:c r="G71" s="54">
        <x:f t="shared" si="46"/>
        <x:v>2.5434066569928349E-3</x:v>
      </x:c>
      <x:c r="H71" s="55"/>
      <x:c r="J71" s="47">
        <x:v>43951</x:v>
      </x:c>
      <x:c r="K71" s="50">
        <x:v>76294488</x:v>
      </x:c>
      <x:c r="L71" s="54">
        <x:f t="shared" si="31"/>
        <x:v>-2.5731545844545858</x:v>
      </x:c>
      <x:c r="M71" s="54">
        <x:f t="shared" si="38"/>
        <x:v>-0.25766329363371909</x:v>
      </x:c>
      <x:c r="N71" s="54">
        <x:f t="shared" si="54"/>
        <x:v>-0.72313840854265798</x:v>
      </x:c>
      <x:c r="O71" s="54">
        <x:f t="shared" si="55"/>
        <x:v>-0.25766329363371904</x:v>
      </x:c>
      <x:c r="P71" s="55">
        <x:f t="shared" si="56"/>
        <x:v>0</x:v>
      </x:c>
      <x:c r="R71" s="47">
        <x:v>43951</x:v>
      </x:c>
      <x:c r="S71" s="50">
        <x:v>63719332.75</x:v>
      </x:c>
      <x:c r="T71" s="54">
        <x:f t="shared" si="32"/>
        <x:v>-2.7532672655895927</x:v>
      </x:c>
      <x:c r="U71" s="54">
        <x:f t="shared" si="39"/>
        <x:v>0.11355367326565435</x:v>
      </x:c>
      <x:c r="V71" s="54">
        <x:f t="shared" si="47"/>
        <x:v>-0.85419587998138669</x:v>
      </x:c>
      <x:c r="W71" s="54">
        <x:f t="shared" si="40"/>
        <x:v>0.10138102326565435</x:v>
      </x:c>
      <x:c r="X71" s="55">
        <x:f t="shared" si="48"/>
        <x:v>0</x:v>
      </x:c>
      <x:c r="Y71" s="47">
        <x:v>43951</x:v>
      </x:c>
      <x:c r="Z71" s="50">
        <x:v>89737851950.928299</x:v>
      </x:c>
      <x:c r="AA71" s="54">
        <x:f t="shared" si="33"/>
        <x:v>25.220158500846374</x:v>
      </x:c>
      <x:c r="AB71" s="54">
        <x:f t="shared" si="41"/>
        <x:v>1.3678646415318241E-2</x:v>
      </x:c>
      <x:c r="AC71" s="54">
        <x:f t="shared" si="49"/>
        <x:v>-3.0283964778875037E-2</x:v>
      </x:c>
      <x:c r="AD71" s="54">
        <x:f t="shared" si="50"/>
        <x:v>-1.7666669001681755E-2</x:v>
      </x:c>
      <x:c r="AE71" s="55"/>
      <x:c r="AF71" s="47">
        <x:v>43951</x:v>
      </x:c>
      <x:c r="AG71" s="50">
        <x:v>29836097634.111099</x:v>
      </x:c>
      <x:c r="AH71" s="54">
        <x:f t="shared" si="34"/>
        <x:v>24.118984827393241</x:v>
      </x:c>
      <x:c r="AI71" s="54">
        <x:f t="shared" si="42"/>
        <x:v>3.0797357360832223E-2</x:v>
      </x:c>
      <x:c r="AJ71" s="54">
        <x:f t="shared" si="53"/>
        <x:v>1.3735073417255689E-2</x:v>
      </x:c>
      <x:c r="AK71" s="54">
        <x:f t="shared" si="43"/>
        <x:v>2.7723357360832229E-2</x:v>
      </x:c>
      <x:c r="AL71" s="55">
        <x:f t="shared" si="35"/>
        <x:v>4.258499044684208E-2</x:v>
      </x:c>
      <x:c r="AM71" s="47">
        <x:v>43951</x:v>
      </x:c>
      <x:c r="AN71" s="50">
        <x:v>267206921998.19498</x:v>
      </x:c>
      <x:c r="AO71" s="54">
        <x:f t="shared" si="36"/>
        <x:v>26.311289183955221</x:v>
      </x:c>
      <x:c r="AP71" s="54">
        <x:f t="shared" si="44"/>
        <x:v>4.136552087857126E-3</x:v>
      </x:c>
      <x:c r="AQ71" s="54">
        <x:f t="shared" si="51"/>
        <x:v>3.1683395752657283E-3</x:v>
      </x:c>
      <x:c r="AR71" s="55">
        <x:f t="shared" si="52"/>
        <x:v>3.7174675948571266E-3</x:v>
      </x:c>
    </x:row>
    <x:row r="72">
      <x:c r="B72" s="47">
        <x:v>43982</x:v>
      </x:c>
      <x:c r="C72" s="50">
        <x:v>168164426499.08701</x:v>
      </x:c>
      <x:c r="D72" s="54" t="n">
        <x:f t="shared" ref="D72:D103" si="57">LN(C72)</x:f>
        <x:v>25.848208066867798</x:v>
      </x:c>
      <x:c r="E72" s="54">
        <x:f t="shared" si="37"/>
        <x:v>0.23571892917711423</x:v>
      </x:c>
      <x:c r="F72" s="54">
        <x:f t="shared" si="45"/>
        <x:v>0.23151174213928577</x:v>
      </x:c>
      <x:c r="G72" s="54">
        <x:f t="shared" si="46"/>
        <x:v>0.22290792917711424</x:v>
      </x:c>
      <x:c r="H72" s="55"/>
      <x:c r="J72" s="47">
        <x:v>43982</x:v>
      </x:c>
      <x:c r="K72" s="50">
        <x:v>77090520</x:v>
      </x:c>
      <x:c r="L72" s="54" t="n">
        <x:f t="shared" ref="L72:L103" si="58">LN(K72/1000000000)</x:f>
        <x:v>-2.5627749631711527</x:v>
      </x:c>
      <x:c r="M72" s="54">
        <x:f t="shared" si="38"/>
        <x:v>1.037962128343306E-2</x:v>
      </x:c>
      <x:c r="N72" s="54">
        <x:f t="shared" si="54"/>
        <x:v>-0.23742436631124886</x:v>
      </x:c>
      <x:c r="O72" s="54">
        <x:f t="shared" si="55"/>
        <x:v>1.037962128343306E-2</x:v>
      </x:c>
      <x:c r="P72" s="55">
        <x:f t="shared" si="56"/>
        <x:v>0</x:v>
      </x:c>
      <x:c r="R72" s="47">
        <x:v>43982</x:v>
      </x:c>
      <x:c r="S72" s="50">
        <x:v>65266833.75</x:v>
      </x:c>
      <x:c r="T72" s="54" t="n">
        <x:f t="shared" ref="T72:T103" si="59">LN(S72/1000000000)</x:f>
        <x:v>-2.729271277546899</x:v>
      </x:c>
      <x:c r="U72" s="54">
        <x:f t="shared" si="39"/>
        <x:v>2.399598804269365E-2</x:v>
      </x:c>
      <x:c r="V72" s="54">
        <x:f t="shared" si="47"/>
        <x:v>-0.87331915418327188</x:v>
      </x:c>
      <x:c r="W72" s="54">
        <x:f t="shared" si="40"/>
        <x:v>1.182333804269365E-2</x:v>
      </x:c>
      <x:c r="X72" s="55">
        <x:f t="shared" si="48"/>
        <x:v>0</x:v>
      </x:c>
      <x:c r="Y72" s="47">
        <x:v>43982</x:v>
      </x:c>
      <x:c r="Z72" s="50">
        <x:v>91000627824.691391</x:v>
      </x:c>
      <x:c r="AA72" s="54" t="n">
        <x:f t="shared" ref="AA72:AA103" si="60">LN(Z72)</x:f>
        <x:v>25.234132242611896</x:v>
      </x:c>
      <x:c r="AB72" s="54">
        <x:f t="shared" si="41"/>
        <x:v>1.3973741765521908E-2</x:v>
      </x:c>
      <x:c r="AC72" s="54">
        <x:f t="shared" si="49"/>
        <x:v>-1.4252856305011466E-3</x:v>
      </x:c>
      <x:c r="AD72" s="54">
        <x:f t="shared" si="50"/>
        <x:v>-1.7371573651478088E-2</x:v>
      </x:c>
      <x:c r="AE72" s="55"/>
      <x:c r="AF72" s="47">
        <x:v>43982</x:v>
      </x:c>
      <x:c r="AG72" s="50">
        <x:v>31360986765.2953</x:v>
      </x:c>
      <x:c r="AH72" s="54" t="n">
        <x:f t="shared" ref="AH72:AH103" si="61">LN(AG72)</x:f>
        <x:v>24.168830497663663</x:v>
      </x:c>
      <x:c r="AI72" s="54">
        <x:f t="shared" si="42"/>
        <x:v>4.9845670270421749E-2</x:v>
      </x:c>
      <x:c r="AJ72" s="54">
        <x:f t="shared" si="53"/>
        <x:v>3.302018513025809E-2</x:v>
      </x:c>
      <x:c r="AK72" s="54">
        <x:f t="shared" si="43"/>
        <x:v>4.6771670270421756E-2</x:v>
      </x:c>
      <x:c r="AL72" s="55" t="n">
        <x:f t="shared" ref="AL72:AL103" si="62">AH72-23.8796638369464-$AH$6*(ROW()-7)</x:f>
        <x:v>0.08935666071726384</x:v>
      </x:c>
      <x:c r="AM72" s="47">
        <x:v>43982</x:v>
      </x:c>
      <x:c r="AN72" s="50">
        <x:v>268732039207.44498</x:v>
      </x:c>
      <x:c r="AO72" s="54" t="n">
        <x:f t="shared" ref="AO72:AO103" si="63">LN(AN72)</x:f>
        <x:v>26.316980583298985</x:v>
      </x:c>
      <x:c r="AP72" s="54">
        <x:f t="shared" si="44"/>
        <x:v>5.6913993437639476E-3</x:v>
      </x:c>
      <x:c r="AQ72" s="54">
        <x:f t="shared" si="51"/>
        <x:v>2.1798494985100243E-3</x:v>
      </x:c>
      <x:c r="AR72" s="55">
        <x:f t="shared" si="52"/>
        <x:v>5.2723148507639482E-3</x:v>
      </x:c>
    </x:row>
    <x:row r="73">
      <x:c r="B73" s="47">
        <x:v>44012</x:v>
      </x:c>
      <x:c r="C73" s="50">
        <x:v>160789884742.57001</x:v>
      </x:c>
      <x:c r="D73" s="54">
        <x:f t="shared" si="57"/>
        <x:v>25.803364285882832</x:v>
      </x:c>
      <x:c r="E73" s="54" t="n">
        <x:f t="shared" ref="E73:E104" si="64">D73-D72</x:f>
        <x:v>-0.044843780984965775</x:v>
      </x:c>
      <x:c r="F73" s="54">
        <x:f t="shared" si="45"/>
        <x:v>3.3992589836801375E-2</x:v>
      </x:c>
      <x:c r="G73" s="54">
        <x:f t="shared" si="46"/>
        <x:v>-5.7654780984965778E-2</x:v>
      </x:c>
      <x:c r="H73" s="55"/>
      <x:c r="J73" s="47">
        <x:v>44012</x:v>
      </x:c>
      <x:c r="K73" s="50">
        <x:v>75596567</x:v>
      </x:c>
      <x:c r="L73" s="54">
        <x:f t="shared" si="58"/>
        <x:v>-2.5823444068806274</x:v>
      </x:c>
      <x:c r="M73" s="54" t="n">
        <x:f t="shared" ref="M73:M104" si="65">L73-L72</x:f>
        <x:v>-0.019569443709474665</x:v>
      </x:c>
      <x:c r="N73" s="54">
        <x:f t="shared" si="54"/>
        <x:v>-0.37327401314214892</x:v>
      </x:c>
      <x:c r="O73" s="54">
        <x:f t="shared" si="55"/>
        <x:v>-1.9569443709474638E-2</x:v>
      </x:c>
      <x:c r="P73" s="55">
        <x:f t="shared" si="56"/>
        <x:v>-2.7755575615628914E-17</x:v>
      </x:c>
      <x:c r="R73" s="47">
        <x:v>44012</x:v>
      </x:c>
      <x:c r="S73" s="50">
        <x:v>41078157.75</x:v>
      </x:c>
      <x:c r="T73" s="54">
        <x:f t="shared" si="59"/>
        <x:v>-3.1922787403509294</x:v>
      </x:c>
      <x:c r="U73" s="54" t="n">
        <x:f t="shared" ref="U73:U104" si="66">T73-T72</x:f>
        <x:v>-0.4630074628040304</x:v>
      </x:c>
      <x:c r="V73" s="54">
        <x:f t="shared" si="47"/>
        <x:v>-1.3550388576145955</x:v>
      </x:c>
      <x:c r="W73" s="54" t="n">
        <x:f t="shared" ref="W73:W104" si="67">U73-$T$6</x:f>
        <x:v>-0.4751801128040304</x:v>
      </x:c>
      <x:c r="X73" s="55">
        <x:f t="shared" si="48"/>
        <x:v>0</x:v>
      </x:c>
      <x:c r="Y73" s="47">
        <x:v>44012</x:v>
      </x:c>
      <x:c r="Z73" s="50">
        <x:v>92404586055.758102</x:v>
      </x:c>
      <x:c r="AA73" s="54">
        <x:f t="shared" si="60"/>
        <x:v>25.249442447000465</x:v>
      </x:c>
      <x:c r="AB73" s="54" t="n">
        <x:f t="shared" ref="AB73:AB104" si="68">AA73-AA72</x:f>
        <x:v>0.01531020438856956</x:v>
      </x:c>
      <x:c r="AC73" s="54">
        <x:f t="shared" si="49"/>
        <x:v>-4.2487422552226622E-4</x:v>
      </x:c>
      <x:c r="AD73" s="54">
        <x:f t="shared" si="50"/>
        <x:v>-1.6035111028430433E-2</x:v>
      </x:c>
      <x:c r="AE73" s="55"/>
      <x:c r="AF73" s="47">
        <x:v>44012</x:v>
      </x:c>
      <x:c r="AG73" s="50">
        <x:v>32682022598.632698</x:v>
      </x:c>
      <x:c r="AH73" s="54">
        <x:f t="shared" si="61"/>
        <x:v>24.210090996046077</x:v>
      </x:c>
      <x:c r="AI73" s="54" t="n">
        <x:f t="shared" ref="AI73:AI104" si="69">AH73-AH72</x:f>
        <x:v>0.04126049838241386</x:v>
      </x:c>
      <x:c r="AJ73" s="54">
        <x:f t="shared" si="53"/>
        <x:v>4.142486139387646E-2</x:v>
      </x:c>
      <x:c r="AK73" s="54" t="n">
        <x:f t="shared" ref="AK73:AK104" si="70">AL73-AL72</x:f>
        <x:v>0.038186498382413864</x:v>
      </x:c>
      <x:c r="AL73" s="55">
        <x:f t="shared" si="62"/>
        <x:v>0.1275431590996777</x:v>
      </x:c>
      <x:c r="AM73" s="47">
        <x:v>44012</x:v>
      </x:c>
      <x:c r="AN73" s="50">
        <x:v>270054864679.94498</x:v>
      </x:c>
      <x:c r="AO73" s="54">
        <x:f t="shared" si="63"/>
        <x:v>26.321890977820264</x:v>
      </x:c>
      <x:c r="AP73" s="54" t="n">
        <x:f t="shared" ref="AP73:AP104" si="71">AO73-AO72</x:f>
        <x:v>0.004910394521278505</x:v>
      </x:c>
      <x:c r="AQ73" s="54">
        <x:f t="shared" si="51"/>
        <x:v>4.2240821190997679E-3</x:v>
      </x:c>
      <x:c r="AR73" s="55">
        <x:f t="shared" si="52"/>
        <x:v>4.4913100282785055E-3</x:v>
      </x:c>
    </x:row>
    <x:row r="74">
      <x:c r="B74" s="47" t="n">
        <x:f>EOMONTH(B73,1)</x:f>
        <x:v>44043</x:v>
      </x:c>
      <x:c r="C74" s="50">
        <x:v>154397913366.08801</x:v>
      </x:c>
      <x:c r="D74" s="54">
        <x:f t="shared" si="57"/>
        <x:v>25.762798959977424</x:v>
      </x:c>
      <x:c r="E74" s="54">
        <x:f t="shared" si="64"/>
        <x:v>-4.05653259054084E-2</x:v>
      </x:c>
      <x:c r="F74" s="54" t="n">
        <x:f t="shared" ref="F74:F105" si="72">E74-$D$6-$E$6*F73-$F$6*F72</x:f>
        <x:v>0.0073252128944409495</x:v>
      </x:c>
      <x:c r="G74" s="54" t="n">
        <x:f t="shared" ref="G74:G105" si="73">F74+$E$6*F73+$F$6*F72</x:f>
        <x:v>-0.0533763259054084</x:v>
      </x:c>
      <x:c r="H74" s="55" t="n">
        <x:f>F74*F74</x:f>
        <x:v>0.000053658743948883956</x:v>
      </x:c>
      <x:c r="J74" s="47" t="n">
        <x:f>EOMONTH(J73,1)</x:f>
        <x:v>44043</x:v>
      </x:c>
      <x:c r="K74" s="50">
        <x:v>69769449</x:v>
      </x:c>
      <x:c r="L74" s="54">
        <x:f t="shared" si="58"/>
        <x:v>-2.6625590584392724</x:v>
      </x:c>
      <x:c r="M74" s="54">
        <x:f t="shared" si="65"/>
        <x:v>-8.0214651558645045E-2</x:v>
      </x:c>
      <x:c r="N74" s="54">
        <x:f t="shared" si="54"/>
        <x:v>-0.45663745234050979</x:v>
      </x:c>
      <x:c r="O74" s="54">
        <x:f t="shared" si="55"/>
        <x:v>-8.0214651558645045E-2</x:v>
      </x:c>
      <x:c r="P74" s="55">
        <x:f t="shared" si="56"/>
        <x:v>0</x:v>
      </x:c>
      <x:c r="R74" s="47" t="n">
        <x:f>EOMONTH(R73,1)</x:f>
        <x:v>44043</x:v>
      </x:c>
      <x:c r="S74" s="50">
        <x:v>89716624.75</x:v>
      </x:c>
      <x:c r="T74" s="54">
        <x:f t="shared" si="59"/>
        <x:v>-2.4110991898549816</x:v>
      </x:c>
      <x:c r="U74" s="54">
        <x:f t="shared" si="66"/>
        <x:v>0.78117955049594778</x:v>
      </x:c>
      <x:c r="V74" s="54" t="n">
        <x:f t="shared" ref="V74:V105" si="74">U74-$T$6-$U$6*U73+V73</x:f>
        <x:v>-0.45984922779185955</x:v>
      </x:c>
      <x:c r="W74" s="54">
        <x:f t="shared" si="67"/>
        <x:v>0.76900690049594778</x:v>
      </x:c>
      <x:c r="X74" s="55" t="n">
        <x:f t="shared" ref="X74:X105" si="75">U74-($T$6+$U$6*U73+V74-V73)</x:f>
        <x:v>0</x:v>
      </x:c>
      <x:c r="Y74" s="47" t="n">
        <x:f>EOMONTH(Y73,1)</x:f>
        <x:v>44043</x:v>
      </x:c>
      <x:c r="Z74" s="50">
        <x:v>94487070351.34079</x:v>
      </x:c>
      <x:c r="AA74" s="54">
        <x:f t="shared" si="60"/>
        <x:v>25.271728840406237</x:v>
      </x:c>
      <x:c r="AB74" s="54">
        <x:f t="shared" si="68"/>
        <x:v>2.2286393405771321E-2</x:v>
      </x:c>
      <x:c r="AC74" s="54">
        <x:f t="shared" si="49"/>
        <x:v>-4.8378015373236015E-3</x:v>
      </x:c>
      <x:c r="AD74" s="54">
        <x:f t="shared" si="50"/>
        <x:v>-9.0589220112286782E-3</x:v>
      </x:c>
      <x:c r="AE74" s="55"/>
      <x:c r="AF74" s="47" t="n">
        <x:f>EOMONTH(AF73,1)</x:f>
        <x:v>44043</x:v>
      </x:c>
      <x:c r="AG74" s="50">
        <x:v>32566742310.521301</x:v>
      </x:c>
      <x:c r="AH74" s="54">
        <x:f t="shared" si="61"/>
        <x:v>24.206557430062968</x:v>
      </x:c>
      <x:c r="AI74" s="54">
        <x:f t="shared" si="69"/>
        <x:v>-3.5335659831083888E-3</x:v>
      </x:c>
      <x:c r="AJ74" s="54">
        <x:f t="shared" si="53"/>
        <x:v>1.9128349356078217E-3</x:v>
      </x:c>
      <x:c r="AK74" s="54">
        <x:f t="shared" si="70"/>
        <x:v>-6.6075659831084099E-3</x:v>
      </x:c>
      <x:c r="AL74" s="55">
        <x:f t="shared" si="62"/>
        <x:v>0.12093559311656929</x:v>
      </x:c>
      <x:c r="AM74" s="47" t="n">
        <x:f>EOMONTH(AM73,1)</x:f>
        <x:v>44043</x:v>
      </x:c>
      <x:c r="AN74" s="50">
        <x:v>276007252485.19501</x:v>
      </x:c>
      <x:c r="AO74" s="54">
        <x:f t="shared" si="63"/>
        <x:v>26.343692979438597</x:v>
      </x:c>
      <x:c r="AP74" s="54">
        <x:f t="shared" si="71"/>
        <x:v>2.1802001618333122E-2</x:v>
      </x:c>
      <x:c r="AQ74" s="54">
        <x:f t="shared" si="51"/>
        <x:v>1.4086293133433068E-2</x:v>
      </x:c>
      <x:c r="AR74" s="55">
        <x:f t="shared" si="52"/>
        <x:v>2.1382917125333124E-2</x:v>
      </x:c>
    </x:row>
    <x:row r="75">
      <x:c r="B75" s="47">
        <x:v>44074</x:v>
      </x:c>
      <x:c r="C75" s="50">
        <x:v>159675028501.40201</x:v>
      </x:c>
      <x:c r="D75" s="54">
        <x:f t="shared" si="57"/>
        <x:v>25.796406514890382</x:v>
      </x:c>
      <x:c r="E75" s="54">
        <x:f t="shared" si="64"/>
        <x:v>3.3607554912958193E-2</x:v>
      </x:c>
      <x:c r="F75" s="54">
        <x:f t="shared" si="72"/>
        <x:v>3.0594576734202992E-2</x:v>
      </x:c>
      <x:c r="G75" s="54">
        <x:f t="shared" si="73"/>
        <x:v>2.0796554912958194E-2</x:v>
      </x:c>
      <x:c r="H75" s="55"/>
      <x:c r="J75" s="47">
        <x:v>44074</x:v>
      </x:c>
      <x:c r="K75" s="50">
        <x:v>74504397</x:v>
      </x:c>
      <x:c r="L75" s="54">
        <x:f t="shared" si="58"/>
        <x:v>-2.5968971352040144</x:v>
      </x:c>
      <x:c r="M75" s="54">
        <x:f t="shared" si="65"/>
        <x:v>6.5661923235257991E-2</x:v>
      </x:c>
      <x:c r="N75" s="54">
        <x:f t="shared" si="54"/>
        <x:v>-1.0677716635738546</x:v>
      </x:c>
      <x:c r="O75" s="54">
        <x:f t="shared" si="55"/>
        <x:v>6.5661923235258102E-2</x:v>
      </x:c>
      <x:c r="P75" s="55">
        <x:f t="shared" si="56"/>
        <x:v>-1.1102230246251565E-16</x:v>
      </x:c>
      <x:c r="R75" s="47">
        <x:v>44074</x:v>
      </x:c>
      <x:c r="S75" s="50">
        <x:v>42804717.75</x:v>
      </x:c>
      <x:c r="T75" s="54">
        <x:f t="shared" si="59"/>
        <x:v>-3.1511069546652855</x:v>
      </x:c>
      <x:c r="U75" s="54">
        <x:f t="shared" si="66"/>
        <x:v>-0.74000776481030384</x:v>
      </x:c>
      <x:c r="V75" s="54">
        <x:f t="shared" si="74"/>
        <x:v>-1.4249233337294984</x:v>
      </x:c>
      <x:c r="W75" s="54">
        <x:f t="shared" si="67"/>
        <x:v>-0.75218041481030384</x:v>
      </x:c>
      <x:c r="X75" s="55">
        <x:f t="shared" si="75"/>
        <x:v>0</x:v>
      </x:c>
      <x:c r="Y75" s="47">
        <x:v>44074</x:v>
      </x:c>
      <x:c r="Z75" s="50">
        <x:v>97020948858.695496</x:v>
      </x:c>
      <x:c r="AA75" s="54">
        <x:f t="shared" si="60"/>
        <x:v>25.298192759747565</x:v>
      </x:c>
      <x:c r="AB75" s="54">
        <x:f t="shared" si="68"/>
        <x:v>2.6463919341328079E-2</x:v>
      </x:c>
      <x:c r="AC75" s="54" t="n">
        <x:f t="shared" ref="AC75:AC106" si="76">AB75-$AC$4-$AA$6*AB74-$AB$6*AB73-$AC$6*AC74-$AD$6*AC73-$AE$6*AC72</x:f>
        <x:v>0.021913812519405385</x:v>
      </x:c>
      <x:c r="AD75" s="54" t="n">
        <x:f t="shared" ref="AD75:AD106" si="77">$AA$6*AB74+$AB$6*AB73+AC75+$AC$6*AC74+$AD$6*AC73+$AE$6*AC72</x:f>
        <x:v>-0.00488139607567192</x:v>
      </x:c>
      <x:c r="AE75" s="55"/>
      <x:c r="AF75" s="47">
        <x:v>44074</x:v>
      </x:c>
      <x:c r="AG75" s="50">
        <x:v>29776933143.354698</x:v>
      </x:c>
      <x:c r="AH75" s="54">
        <x:f t="shared" si="61"/>
        <x:v>24.116999875129931</x:v>
      </x:c>
      <x:c r="AI75" s="54">
        <x:f t="shared" si="69"/>
        <x:v>-8.9557554933037409E-2</x:v>
      </x:c>
      <x:c r="AJ75" s="54">
        <x:f t="shared" si="53"/>
        <x:v>1.0764219238513683E-2</x:v>
      </x:c>
      <x:c r="AK75" s="54">
        <x:f t="shared" si="70"/>
        <x:v>-9.2631554933037402E-2</x:v>
      </x:c>
      <x:c r="AL75" s="55">
        <x:f t="shared" si="62"/>
        <x:v>2.8304038183531888E-2</x:v>
      </x:c>
      <x:c r="AM75" s="47">
        <x:v>44074</x:v>
      </x:c>
      <x:c r="AN75" s="50">
        <x:v>273055886480.45499</x:v>
      </x:c>
      <x:c r="AO75" s="54">
        <x:f t="shared" si="63"/>
        <x:v>26.33294232356327</x:v>
      </x:c>
      <x:c r="AP75" s="54">
        <x:f t="shared" si="71"/>
        <x:v>-1.0750655875327197E-2</x:v>
      </x:c>
      <x:c r="AQ75" s="54">
        <x:f t="shared" si="51"/>
        <x:v>-1.0471197179564018E-2</x:v>
      </x:c>
      <x:c r="AR75" s="55">
        <x:f t="shared" si="52"/>
        <x:v>-1.1169740368327198E-2</x:v>
      </x:c>
    </x:row>
    <x:row r="76">
      <x:c r="B76" s="47">
        <x:v>44104</x:v>
      </x:c>
      <x:c r="C76" s="50">
        <x:v>169811518451.94</x:v>
      </x:c>
      <x:c r="D76" s="54">
        <x:f t="shared" si="57"/>
        <x:v>25.857954943928949</x:v>
      </x:c>
      <x:c r="E76" s="54">
        <x:f t="shared" si="64"/>
        <x:v>6.154842903856661E-2</x:v>
      </x:c>
      <x:c r="F76" s="54">
        <x:f t="shared" si="72"/>
        <x:v>6.1854078436084176E-2</x:v>
      </x:c>
      <x:c r="G76" s="54">
        <x:f t="shared" si="73"/>
        <x:v>4.8737429038566607E-2</x:v>
      </x:c>
      <x:c r="H76" s="55"/>
      <x:c r="J76" s="47">
        <x:v>44104</x:v>
      </x:c>
      <x:c r="K76" s="50">
        <x:v>426593763</x:v>
      </x:c>
      <x:c r="L76" s="54">
        <x:f t="shared" si="58"/>
        <x:v>-0.85192309330492832</x:v>
      </x:c>
      <x:c r="M76" s="54">
        <x:f t="shared" si="65"/>
        <x:v>1.744974041899086</x:v>
      </x:c>
      <x:c r="N76" s="54">
        <x:f t="shared" si="54"/>
        <x:v>0.94107457997947197</x:v>
      </x:c>
      <x:c r="O76" s="54">
        <x:f t="shared" si="55"/>
        <x:v>1.744974041899086</x:v>
      </x:c>
      <x:c r="P76" s="55">
        <x:f t="shared" si="56"/>
        <x:v>0</x:v>
      </x:c>
      <x:c r="R76" s="47">
        <x:v>44104</x:v>
      </x:c>
      <x:c r="S76" s="50">
        <x:v>57215116.75</x:v>
      </x:c>
      <x:c r="T76" s="54">
        <x:f t="shared" si="59"/>
        <x:v>-2.8609371366657337</x:v>
      </x:c>
      <x:c r="U76" s="54">
        <x:f t="shared" si="66"/>
        <x:v>0.29016981799955177</x:v>
      </x:c>
      <x:c r="V76" s="54">
        <x:f t="shared" si="74"/>
        <x:v>-0.94525295959784172</x:v>
      </x:c>
      <x:c r="W76" s="54">
        <x:f t="shared" si="67"/>
        <x:v>0.27799716799955176</x:v>
      </x:c>
      <x:c r="X76" s="55">
        <x:f t="shared" si="75"/>
        <x:v>0</x:v>
      </x:c>
      <x:c r="Y76" s="47">
        <x:v>44104</x:v>
      </x:c>
      <x:c r="Z76" s="50">
        <x:v>97255804133.203903</x:v>
      </x:c>
      <x:c r="AA76" s="54">
        <x:f t="shared" si="60"/>
        <x:v>25.30061050026767</x:v>
      </x:c>
      <x:c r="AB76" s="54">
        <x:f t="shared" si="68"/>
        <x:v>2.4177405201051272E-3</x:v>
      </x:c>
      <x:c r="AC76" s="54">
        <x:f t="shared" si="76"/>
        <x:v>6.4848799163340414E-3</x:v>
      </x:c>
      <x:c r="AD76" s="54">
        <x:f t="shared" si="77"/>
        <x:v>-2.8927574896894868E-2</x:v>
      </x:c>
      <x:c r="AE76" s="55"/>
      <x:c r="AF76" s="47">
        <x:v>44104</x:v>
      </x:c>
      <x:c r="AG76" s="50">
        <x:v>27654793015.234501</x:v>
      </x:c>
      <x:c r="AH76" s="54">
        <x:f t="shared" si="61"/>
        <x:v>24.043064895831847</x:v>
      </x:c>
      <x:c r="AI76" s="54">
        <x:f t="shared" si="69"/>
        <x:v>-7.3934979298083903E-2</x:v>
      </x:c>
      <x:c r="AJ76" s="54">
        <x:f t="shared" si="53"/>
        <x:v>-8.841138987573513E-2</x:v>
      </x:c>
      <x:c r="AK76" s="54">
        <x:f t="shared" si="70"/>
        <x:v>-7.7008979298083896E-2</x:v>
      </x:c>
      <x:c r="AL76" s="55">
        <x:f t="shared" si="62"/>
        <x:v>-4.8704941114552008E-2</x:v>
      </x:c>
      <x:c r="AM76" s="47">
        <x:v>44104</x:v>
      </x:c>
      <x:c r="AN76" s="50">
        <x:v>270762547831.10498</x:v>
      </x:c>
      <x:c r="AO76" s="54">
        <x:f t="shared" si="63"/>
        <x:v>26.324508066466851</x:v>
      </x:c>
      <x:c r="AP76" s="54">
        <x:f t="shared" si="71"/>
        <x:v>-8.4342570964182073E-3</x:v>
      </x:c>
      <x:c r="AQ76" s="54">
        <x:f t="shared" si="51"/>
        <x:v>-1.33076978805927E-2</x:v>
      </x:c>
      <x:c r="AR76" s="55">
        <x:f t="shared" si="52"/>
        <x:v>-8.8533415894182076E-3</x:v>
      </x:c>
    </x:row>
    <x:row r="77">
      <x:c r="B77" s="47">
        <x:v>44135</x:v>
      </x:c>
      <x:c r="C77" s="50">
        <x:v>175416677466.319</x:v>
      </x:c>
      <x:c r="D77" s="54">
        <x:f t="shared" si="57"/>
        <x:v>25.890429994840606</x:v>
      </x:c>
      <x:c r="E77" s="54">
        <x:f t="shared" si="64"/>
        <x:v>3.2475050911656922E-2</x:v>
      </x:c>
      <x:c r="F77" s="54">
        <x:f t="shared" si="72"/>
        <x:v>4.9442121892623418E-2</x:v>
      </x:c>
      <x:c r="G77" s="54">
        <x:f t="shared" si="73"/>
        <x:v>1.9664050911656919E-2</x:v>
      </x:c>
      <x:c r="H77" s="55"/>
      <x:c r="J77" s="47">
        <x:v>44135</x:v>
      </x:c>
      <x:c r="K77" s="50">
        <x:v>975274332</x:v>
      </x:c>
      <x:c r="L77" s="54">
        <x:f t="shared" si="58"/>
        <x:v>-2.5036481406476567E-2</x:v>
      </x:c>
      <x:c r="M77" s="54">
        <x:f t="shared" si="65"/>
        <x:v>0.82688661189845181</x:v>
      </x:c>
      <x:c r="N77" s="54">
        <x:f t="shared" si="54"/>
        <x:v>0.82411165335239123</x:v>
      </x:c>
      <x:c r="O77" s="54">
        <x:f t="shared" si="55"/>
        <x:v>0.82688661189845192</x:v>
      </x:c>
      <x:c r="P77" s="55">
        <x:f t="shared" si="56"/>
        <x:v>0</x:v>
      </x:c>
      <x:c r="R77" s="47">
        <x:v>44135</x:v>
      </x:c>
      <x:c r="S77" s="50">
        <x:v>65795709.75</x:v>
      </x:c>
      <x:c r="T77" s="54">
        <x:f t="shared" si="59"/>
        <x:v>-2.7212006441443481</x:v>
      </x:c>
      <x:c r="U77" s="54">
        <x:f t="shared" si="66"/>
        <x:v>0.13973649252138554</x:v>
      </x:c>
      <x:c r="V77" s="54">
        <x:f t="shared" si="74"/>
        <x:v>-0.89676866232114705</x:v>
      </x:c>
      <x:c r="W77" s="54">
        <x:f t="shared" si="67"/>
        <x:v>0.12756384252138553</x:v>
      </x:c>
      <x:c r="X77" s="55">
        <x:f t="shared" si="75"/>
        <x:v>0</x:v>
      </x:c>
      <x:c r="Y77" s="47">
        <x:v>44135</x:v>
      </x:c>
      <x:c r="Z77" s="50">
        <x:v>98539577884.912094</x:v>
      </x:c>
      <x:c r="AA77" s="54">
        <x:f t="shared" si="60"/>
        <x:v>25.313724110360258</x:v>
      </x:c>
      <x:c r="AB77" s="54">
        <x:f t="shared" si="68"/>
        <x:v>1.3113610092588601E-2</x:v>
      </x:c>
      <x:c r="AC77" s="54">
        <x:f t="shared" si="76"/>
        <x:v>-9.753731113639327E-3</x:v>
      </x:c>
      <x:c r="AD77" s="54">
        <x:f t="shared" si="77"/>
        <x:v>-1.8231705324411394E-2</x:v>
      </x:c>
      <x:c r="AE77" s="55"/>
      <x:c r="AF77" s="47">
        <x:v>44135</x:v>
      </x:c>
      <x:c r="AG77" s="50">
        <x:v>28860747218.638</x:v>
      </x:c>
      <x:c r="AH77" s="54">
        <x:f t="shared" si="61"/>
        <x:v>24.085748281108664</x:v>
      </x:c>
      <x:c r="AI77" s="54">
        <x:f t="shared" si="69"/>
        <x:v>4.2683385276816921E-2</x:v>
      </x:c>
      <x:c r="AJ77" s="54">
        <x:f t="shared" si="53"/>
        <x:v>2.1396541810458344E-2</x:v>
      </x:c>
      <x:c r="AK77" s="54">
        <x:f t="shared" si="70"/>
        <x:v>3.9609385276816927E-2</x:v>
      </x:c>
      <x:c r="AL77" s="55">
        <x:f t="shared" si="62"/>
        <x:v>-9.0955558377350809E-3</x:v>
      </x:c>
      <x:c r="AM77" s="47">
        <x:v>44135</x:v>
      </x:c>
      <x:c r="AN77" s="50">
        <x:v>274739161330.14499</x:v>
      </x:c>
      <x:c r="AO77" s="54">
        <x:f t="shared" si="63"/>
        <x:v>26.339087980244159</x:v>
      </x:c>
      <x:c r="AP77" s="54">
        <x:f t="shared" si="71"/>
        <x:v>1.4579913777307496E-2</x:v>
      </x:c>
      <x:c r="AQ77" s="54">
        <x:f t="shared" si="51"/>
        <x:v>8.9179402812777208E-3</x:v>
      </x:c>
      <x:c r="AR77" s="55">
        <x:f t="shared" si="52"/>
        <x:v>1.4160829284307496E-2</x:v>
      </x:c>
    </x:row>
    <x:row r="78">
      <x:c r="B78" s="47">
        <x:v>44165</x:v>
      </x:c>
      <x:c r="C78" s="50">
        <x:v>191892104303.0004</x:v>
      </x:c>
      <x:c r="D78" s="54">
        <x:f t="shared" si="57"/>
        <x:v>25.980199094262108</x:v>
      </x:c>
      <x:c r="E78" s="54">
        <x:f t="shared" si="64"/>
        <x:v>8.9769099421502574E-2</x:v>
      </x:c>
      <x:c r="F78" s="54">
        <x:f t="shared" si="72"/>
        <x:v>0.1084838570306591</x:v>
      </x:c>
      <x:c r="G78" s="54">
        <x:f t="shared" si="73"/>
        <x:v>7.6958099421502557E-2</x:v>
      </x:c>
      <x:c r="H78" s="55"/>
      <x:c r="J78" s="47">
        <x:v>44165</x:v>
      </x:c>
      <x:c r="K78" s="50">
        <x:v>235479141</x:v>
      </x:c>
      <x:c r="L78" s="54">
        <x:f t="shared" si="58"/>
        <x:v>-1.4461329426969141</x:v>
      </x:c>
      <x:c r="M78" s="54">
        <x:f t="shared" si="65"/>
        <x:v>-1.4210964612904375</x:v>
      </x:c>
      <x:c r="N78" s="54">
        <x:f t="shared" si="54"/>
        <x:v>-1.0147561444586595</x:v>
      </x:c>
      <x:c r="O78" s="54">
        <x:f t="shared" si="55"/>
        <x:v>-1.4210964612904375</x:v>
      </x:c>
      <x:c r="P78" s="55">
        <x:f t="shared" si="56"/>
        <x:v>0</x:v>
      </x:c>
      <x:c r="R78" s="47">
        <x:v>44165</x:v>
      </x:c>
      <x:c r="S78" s="50">
        <x:v>48327307.75</x:v>
      </x:c>
      <x:c r="T78" s="54">
        <x:f t="shared" si="59"/>
        <x:v>-3.0297585002426581</x:v>
      </x:c>
      <x:c r="U78" s="54">
        <x:f t="shared" si="66"/>
        <x:v>-0.30855785609830999</x:v>
      </x:c>
      <x:c r="V78" s="54">
        <x:f t="shared" si="74"/>
        <x:v>-1.2555813451215716</x:v>
      </x:c>
      <x:c r="W78" s="54">
        <x:f t="shared" si="67"/>
        <x:v>-0.32073050609831</x:v>
      </x:c>
      <x:c r="X78" s="55">
        <x:f t="shared" si="75"/>
        <x:v>0</x:v>
      </x:c>
      <x:c r="Y78" s="47">
        <x:v>44165</x:v>
      </x:c>
      <x:c r="Z78" s="50">
        <x:v>96389920471.365402</x:v>
      </x:c>
      <x:c r="AA78" s="54">
        <x:f t="shared" si="60"/>
        <x:v>25.291667473670522</x:v>
      </x:c>
      <x:c r="AB78" s="54">
        <x:f t="shared" si="68"/>
        <x:v>-2.2056636689736564E-2</x:v>
      </x:c>
      <x:c r="AC78" s="54">
        <x:f t="shared" si="76"/>
        <x:v>-3.2618916011812542E-2</x:v>
      </x:c>
      <x:c r="AD78" s="54">
        <x:f t="shared" si="77"/>
        <x:v>-5.3401952106736567E-2</x:v>
      </x:c>
      <x:c r="AE78" s="55"/>
      <x:c r="AF78" s="47">
        <x:v>44165</x:v>
      </x:c>
      <x:c r="AG78" s="50">
        <x:v>30295371150.447399</x:v>
      </x:c>
      <x:c r="AH78" s="54">
        <x:f t="shared" si="61"/>
        <x:v>24.134260770479653</x:v>
      </x:c>
      <x:c r="AI78" s="54">
        <x:f t="shared" si="69"/>
        <x:v>4.8512489370988732E-2</x:v>
      </x:c>
      <x:c r="AJ78" s="54">
        <x:f t="shared" si="53"/>
        <x:v>4.0631698127079216E-2</x:v>
      </x:c>
      <x:c r="AK78" s="54">
        <x:f t="shared" si="70"/>
        <x:v>4.5438489370988711E-2</x:v>
      </x:c>
      <x:c r="AL78" s="55">
        <x:f t="shared" si="62"/>
        <x:v>3.634293353325363E-2</x:v>
      </x:c>
      <x:c r="AM78" s="47">
        <x:v>44165</x:v>
      </x:c>
      <x:c r="AN78" s="50">
        <x:v>277666344855.64502</x:v>
      </x:c>
      <x:c r="AO78" s="54">
        <x:f t="shared" si="63"/>
        <x:v>26.3496860314612</x:v>
      </x:c>
      <x:c r="AP78" s="54">
        <x:f t="shared" si="71"/>
        <x:v>1.059805121704116E-2</x:v>
      </x:c>
      <x:c r="AQ78" s="54">
        <x:f t="shared" si="51"/>
        <x:v>9.5561290855320589E-3</x:v>
      </x:c>
      <x:c r="AR78" s="55">
        <x:f t="shared" si="52"/>
        <x:v>1.017896672404116E-2</x:v>
      </x:c>
    </x:row>
    <x:row r="79">
      <x:c r="B79" s="47">
        <x:v>44196</x:v>
      </x:c>
      <x:c r="C79" s="50">
        <x:v>171806969084.69897</x:v>
      </x:c>
      <x:c r="D79" s="54">
        <x:f t="shared" si="57"/>
        <x:v>25.869637410776846</x:v>
      </x:c>
      <x:c r="E79" s="54">
        <x:f t="shared" si="64"/>
        <x:v>-0.11056168348526185</x:v>
      </x:c>
      <x:c r="F79" s="54">
        <x:f t="shared" si="72"/>
        <x:v>-7.2016673441136464E-2</x:v>
      </x:c>
      <x:c r="G79" s="54">
        <x:f t="shared" si="73"/>
        <x:v>-0.12337268348526187</x:v>
      </x:c>
      <x:c r="H79" s="55"/>
      <x:c r="J79" s="47">
        <x:v>44196</x:v>
      </x:c>
      <x:c r="K79" s="50">
        <x:v>208072619</x:v>
      </x:c>
      <x:c r="L79" s="54">
        <x:f t="shared" si="58"/>
        <x:v>-1.5698681304047566</x:v>
      </x:c>
      <x:c r="M79" s="54">
        <x:f t="shared" si="65"/>
        <x:v>-0.12373518770784253</x:v>
      </x:c>
      <x:c r="N79" s="54">
        <x:f t="shared" si="54"/>
        <x:v>0.78479866449865798</x:v>
      </x:c>
      <x:c r="O79" s="54">
        <x:f t="shared" si="55"/>
        <x:v>-0.12373518770784253</x:v>
      </x:c>
      <x:c r="P79" s="55">
        <x:f t="shared" si="56"/>
        <x:v>0</x:v>
      </x:c>
      <x:c r="R79" s="47">
        <x:v>44196</x:v>
      </x:c>
      <x:c r="S79" s="50">
        <x:v>114651247.25</x:v>
      </x:c>
      <x:c r="T79" s="54">
        <x:f t="shared" si="59"/>
        <x:v>-2.1658603909759488</x:v>
      </x:c>
      <x:c r="U79" s="54">
        <x:f t="shared" si="66"/>
        <x:v>0.86389810926670929</x:v>
      </x:c>
      <x:c r="V79" s="54">
        <x:f t="shared" si="74"/>
        <x:v>-0.31976507616917405</x:v>
      </x:c>
      <x:c r="W79" s="54">
        <x:f t="shared" si="67"/>
        <x:v>0.85172545926670928</x:v>
      </x:c>
      <x:c r="X79" s="55">
        <x:f t="shared" si="75"/>
        <x:v>0</x:v>
      </x:c>
      <x:c r="Y79" s="47">
        <x:v>44196</x:v>
      </x:c>
      <x:c r="Z79" s="50">
        <x:v>103923062713.19949</x:v>
      </x:c>
      <x:c r="AA79" s="54">
        <x:f t="shared" si="60"/>
        <x:v>25.366916680710492</x:v>
      </x:c>
      <x:c r="AB79" s="54">
        <x:f t="shared" si="68"/>
        <x:v>7.5249207039970401E-2</x:v>
      </x:c>
      <x:c r="AC79" s="54">
        <x:f t="shared" si="76"/>
        <x:v>5.4004188143223407E-2</x:v>
      </x:c>
      <x:c r="AD79" s="54">
        <x:f t="shared" si="77"/>
        <x:v>4.3903891622970405E-2</x:v>
      </x:c>
      <x:c r="AE79" s="55"/>
      <x:c r="AF79" s="47">
        <x:v>44196</x:v>
      </x:c>
      <x:c r="AG79" s="50">
        <x:v>27729906005.513699</x:v>
      </x:c>
      <x:c r="AH79" s="54">
        <x:f t="shared" si="61"/>
        <x:v>24.045777306936678</x:v>
      </x:c>
      <x:c r="AI79" s="54">
        <x:f t="shared" si="69"/>
        <x:v>-8.8483463542974761E-2</x:v>
      </x:c>
      <x:c r="AJ79" s="54">
        <x:f t="shared" si="53"/>
        <x:v>-1.3126945571912203E-2</x:v>
      </x:c>
      <x:c r="AK79" s="54">
        <x:f t="shared" si="70"/>
        <x:v>-9.1557463542974754E-2</x:v>
      </x:c>
      <x:c r="AL79" s="55">
        <x:f t="shared" si="62"/>
        <x:v>-5.5214530009721124E-2</x:v>
      </x:c>
      <x:c r="AM79" s="47">
        <x:v>44196</x:v>
      </x:c>
      <x:c r="AN79" s="50">
        <x:v>281776058516.89502</x:v>
      </x:c>
      <x:c r="AO79" s="54">
        <x:f t="shared" si="63"/>
        <x:v>26.364378473670797</x:v>
      </x:c>
      <x:c r="AP79" s="54">
        <x:f t="shared" si="71"/>
        <x:v>1.469244220959709E-2</x:v>
      </x:c>
      <x:c r="AQ79" s="54">
        <x:f t="shared" si="51"/>
        <x:v>-3.9315187855459826E-3</x:v>
      </x:c>
      <x:c r="AR79" s="55">
        <x:f t="shared" si="52"/>
        <x:v>1.4273357716597091E-2</x:v>
      </x:c>
    </x:row>
    <x:row r="80">
      <x:c r="B80" s="47">
        <x:v>44227</x:v>
      </x:c>
      <x:c r="C80" s="50">
        <x:v>192395210285.082</x:v>
      </x:c>
      <x:c r="D80" s="54">
        <x:f t="shared" si="57"/>
        <x:v>25.982817480299961</x:v>
      </x:c>
      <x:c r="E80" s="54">
        <x:f t="shared" si="64"/>
        <x:v>0.11318006952311421</x:v>
      </x:c>
      <x:c r="F80" s="54">
        <x:f t="shared" si="72"/>
        <x:v>9.5457189467516856E-2</x:v>
      </x:c>
      <x:c r="G80" s="54">
        <x:f t="shared" si="73"/>
        <x:v>0.10036906952311421</x:v>
      </x:c>
      <x:c r="H80" s="55"/>
      <x:c r="J80" s="47">
        <x:v>44227</x:v>
      </x:c>
      <x:c r="K80" s="50">
        <x:v>203466934</x:v>
      </x:c>
      <x:c r="L80" s="54">
        <x:f t="shared" si="58"/>
        <x:v>-1.5922517737883333</x:v>
      </x:c>
      <x:c r="M80" s="54">
        <x:f t="shared" si="65"/>
        <x:v>-2.2383643383576679E-2</x:v>
      </x:c>
      <x:c r="N80" s="54">
        <x:f t="shared" si="54"/>
        <x:v>-0.21092482383637479</x:v>
      </x:c>
      <x:c r="O80" s="54">
        <x:f t="shared" si="55"/>
        <x:v>-2.2383643383576679E-2</x:v>
      </x:c>
      <x:c r="P80" s="55">
        <x:f t="shared" si="56"/>
        <x:v>0</x:v>
      </x:c>
      <x:c r="R80" s="47">
        <x:v>44227</x:v>
      </x:c>
      <x:c r="S80" s="50">
        <x:v>114560048.25</x:v>
      </x:c>
      <x:c r="T80" s="54">
        <x:f t="shared" si="59"/>
        <x:v>-2.1666561545932144</x:v>
      </x:c>
      <x:c r="U80" s="54">
        <x:f t="shared" si="66"/>
        <x:v>-7.9576361726552136E-4</x:v>
      </x:c>
      <x:c r="V80" s="54">
        <x:f t="shared" si="74"/>
        <x:v>-0.56817034565773195</x:v>
      </x:c>
      <x:c r="W80" s="54">
        <x:f t="shared" si="67"/>
        <x:v>-1.2968413617265521E-2</x:v>
      </x:c>
      <x:c r="X80" s="55">
        <x:f t="shared" si="75"/>
        <x:v>0</x:v>
      </x:c>
      <x:c r="Y80" s="47">
        <x:v>44227</x:v>
      </x:c>
      <x:c r="Z80" s="50">
        <x:v>104535260515.92749</x:v>
      </x:c>
      <x:c r="AA80" s="54">
        <x:f t="shared" si="60"/>
        <x:v>25.372790272642593</x:v>
      </x:c>
      <x:c r="AB80" s="54">
        <x:f t="shared" si="68"/>
        <x:v>5.8735919321009078E-3</x:v>
      </x:c>
      <x:c r="AC80" s="54">
        <x:f t="shared" si="76"/>
        <x:v>8.7573120315134253E-3</x:v>
      </x:c>
      <x:c r="AD80" s="54">
        <x:f t="shared" si="77"/>
        <x:v>-2.5471723484899088E-2</x:v>
      </x:c>
      <x:c r="AE80" s="55"/>
      <x:c r="AF80" s="47">
        <x:v>44227</x:v>
      </x:c>
      <x:c r="AG80" s="50">
        <x:v>28501780704.973499</x:v>
      </x:c>
      <x:c r="AH80" s="54">
        <x:f t="shared" si="61"/>
        <x:v>24.073232403145429</x:v>
      </x:c>
      <x:c r="AI80" s="54">
        <x:f t="shared" si="69"/>
        <x:v>2.7455096208750973E-2</x:v>
      </x:c>
      <x:c r="AJ80" s="54">
        <x:f t="shared" si="53"/>
        <x:v>-3.6111916627929539E-3</x:v>
      </x:c>
      <x:c r="AK80" s="54">
        <x:f t="shared" si="70"/>
        <x:v>2.438109620875098E-2</x:v>
      </x:c>
      <x:c r="AL80" s="55">
        <x:f t="shared" si="62"/>
        <x:v>-3.0833433800970145E-2</x:v>
      </x:c>
      <x:c r="AM80" s="47">
        <x:v>44227</x:v>
      </x:c>
      <x:c r="AN80" s="50">
        <x:v>283247561699.89502</x:v>
      </x:c>
      <x:c r="AO80" s="54">
        <x:f t="shared" si="63"/>
        <x:v>26.369587128520546</x:v>
      </x:c>
      <x:c r="AP80" s="54">
        <x:f t="shared" si="71"/>
        <x:v>5.2086548497491947E-3</x:v>
      </x:c>
      <x:c r="AQ80" s="54">
        <x:f t="shared" si="51"/>
        <x:v>-7.3690404652961795E-3</x:v>
      </x:c>
      <x:c r="AR80" s="55">
        <x:f t="shared" si="52"/>
        <x:v>4.7895703567491952E-3</x:v>
      </x:c>
    </x:row>
    <x:row r="81">
      <x:c r="B81" s="47">
        <x:v>44255</x:v>
      </x:c>
      <x:c r="C81" s="50">
        <x:v>185209483775.233</x:v>
      </x:c>
      <x:c r="D81" s="54">
        <x:f t="shared" si="57"/>
        <x:v>25.944753366136986</x:v>
      </x:c>
      <x:c r="E81" s="54">
        <x:f t="shared" si="64"/>
        <x:v>-3.8064114162974505E-2</x:v>
      </x:c>
      <x:c r="F81" s="54">
        <x:f t="shared" si="72"/>
        <x:v>-2.954196306685402E-2</x:v>
      </x:c>
      <x:c r="G81" s="54">
        <x:f t="shared" si="73"/>
        <x:v>-5.0875114162974501E-2</x:v>
      </x:c>
      <x:c r="H81" s="55"/>
      <x:c r="J81" s="47">
        <x:v>44255</x:v>
      </x:c>
      <x:c r="K81" s="50">
        <x:v>173369152</x:v>
      </x:c>
      <x:c r="L81" s="54">
        <x:f t="shared" si="58"/>
        <x:v>-1.752332131269303</x:v>
      </x:c>
      <x:c r="M81" s="54">
        <x:f t="shared" si="65"/>
        <x:v>-0.16008035748096971</x:v>
      </x:c>
      <x:c r="N81" s="54">
        <x:f t="shared" si="54"/>
        <x:v>-2.3182814148024256E-2</x:v>
      </x:c>
      <x:c r="O81" s="54">
        <x:f t="shared" si="55"/>
        <x:v>-0.16008035748096971</x:v>
      </x:c>
      <x:c r="P81" s="55">
        <x:f t="shared" si="56"/>
        <x:v>0</x:v>
      </x:c>
      <x:c r="R81" s="47">
        <x:v>44255</x:v>
      </x:c>
      <x:c r="S81" s="50">
        <x:v>147801117.25</x:v>
      </x:c>
      <x:c r="T81" s="54">
        <x:f t="shared" si="59"/>
        <x:v>-1.9118877112949824</x:v>
      </x:c>
      <x:c r="U81" s="54">
        <x:f t="shared" si="66"/>
        <x:v>0.25476844329823201</x:v>
      </x:c>
      <x:c r="V81" s="54">
        <x:f t="shared" si="74"/>
        <x:v>-0.32535768409453203</x:v>
      </x:c>
      <x:c r="W81" s="54">
        <x:f t="shared" si="67"/>
        <x:v>0.242595793298232</x:v>
      </x:c>
      <x:c r="X81" s="55">
        <x:f t="shared" si="75"/>
        <x:v>0</x:v>
      </x:c>
      <x:c r="Y81" s="47">
        <x:v>44255</x:v>
      </x:c>
      <x:c r="Z81" s="50">
        <x:v>107610554549.3045</x:v>
      </x:c>
      <x:c r="AA81" s="54">
        <x:f t="shared" si="60"/>
        <x:v>25.401784570470447</x:v>
      </x:c>
      <x:c r="AB81" s="54">
        <x:f t="shared" si="68"/>
        <x:v>2.8994297827853899E-2</x:v>
      </x:c>
      <x:c r="AC81" s="54">
        <x:f t="shared" si="76"/>
        <x:v>1.5487918449572365E-2</x:v>
      </x:c>
      <x:c r="AD81" s="54">
        <x:f t="shared" si="77"/>
        <x:v>-2.3510175891461003E-3</x:v>
      </x:c>
      <x:c r="AE81" s="55"/>
      <x:c r="AF81" s="47">
        <x:v>44255</x:v>
      </x:c>
      <x:c r="AG81" s="50">
        <x:v>29506737678.899399</x:v>
      </x:c>
      <x:c r="AH81" s="54">
        <x:f t="shared" si="61"/>
        <x:v>24.107884470108708</x:v>
      </x:c>
      <x:c r="AI81" s="54">
        <x:f t="shared" si="69"/>
        <x:v>3.4652066963278827E-2</x:v>
      </x:c>
      <x:c r="AJ81" s="54">
        <x:f t="shared" si="53"/>
        <x:v>3.092655204410627E-3</x:v>
      </x:c>
      <x:c r="AK81" s="54">
        <x:f t="shared" si="70"/>
        <x:v>3.1578066963278834E-2</x:v>
      </x:c>
      <x:c r="AL81" s="55">
        <x:f t="shared" si="62"/>
        <x:v>7.4463316230868881E-4</x:v>
      </x:c>
      <x:c r="AM81" s="47">
        <x:v>44255</x:v>
      </x:c>
      <x:c r="AN81" s="50">
        <x:v>282158560101.375</x:v>
      </x:c>
      <x:c r="AO81" s="54">
        <x:f t="shared" si="63"/>
        <x:v>26.365735019733087</x:v>
      </x:c>
      <x:c r="AP81" s="54">
        <x:f t="shared" si="71"/>
        <x:v>-3.8521087874592297E-3</x:v>
      </x:c>
      <x:c r="AQ81" s="54">
        <x:f t="shared" si="51"/>
        <x:v>-7.7648287220352455E-3</x:v>
      </x:c>
      <x:c r="AR81" s="55">
        <x:f t="shared" si="52"/>
        <x:v>-4.27119328045923E-3</x:v>
      </x:c>
    </x:row>
    <x:row r="82">
      <x:c r="B82" s="47">
        <x:v>44286</x:v>
      </x:c>
      <x:c r="C82" s="50">
        <x:v>213405311631.93298</x:v>
      </x:c>
      <x:c r="D82" s="54">
        <x:f t="shared" si="57"/>
        <x:v>26.086459066000707</x:v>
      </x:c>
      <x:c r="E82" s="54">
        <x:f t="shared" si="64"/>
        <x:v>0.14170569986372072</x:v>
      </x:c>
      <x:c r="F82" s="54">
        <x:f t="shared" si="72"/>
        <x:v>0.13740257239512976</x:v>
      </x:c>
      <x:c r="G82" s="54">
        <x:f t="shared" si="73"/>
        <x:v>0.12889469986372071</x:v>
      </x:c>
      <x:c r="H82" s="55"/>
      <x:c r="J82" s="47">
        <x:v>44286</x:v>
      </x:c>
      <x:c r="K82" s="50">
        <x:v>174236717</x:v>
      </x:c>
      <x:c r="L82" s="54">
        <x:f t="shared" si="58"/>
        <x:v>-1.7473404618023607</x:v>
      </x:c>
      <x:c r="M82" s="54">
        <x:f t="shared" si="65"/>
        <x:v>4.9916694669422945E-3</x:v>
      </x:c>
      <x:c r="N82" s="54">
        <x:f t="shared" si="54"/>
        <x:v>-0.11516004765152714</x:v>
      </x:c>
      <x:c r="O82" s="54">
        <x:f t="shared" si="55"/>
        <x:v>4.9916694669422945E-3</x:v>
      </x:c>
      <x:c r="P82" s="55">
        <x:f t="shared" si="56"/>
        <x:v>0</x:v>
      </x:c>
      <x:c r="R82" s="47">
        <x:v>44286</x:v>
      </x:c>
      <x:c r="S82" s="50">
        <x:v>87291356.25</x:v>
      </x:c>
      <x:c r="T82" s="54">
        <x:f t="shared" si="59"/>
        <x:v>-2.4385038330660862</x:v>
      </x:c>
      <x:c r="U82" s="54">
        <x:f t="shared" si="66"/>
        <x:v>-0.52661612177110384</x:v>
      </x:c>
      <x:c r="V82" s="54">
        <x:f t="shared" si="74"/>
        <x:v>-0.93357811756503806</x:v>
      </x:c>
      <x:c r="W82" s="54">
        <x:f t="shared" si="67"/>
        <x:v>-0.53878877177110385</x:v>
      </x:c>
      <x:c r="X82" s="55">
        <x:f t="shared" si="75"/>
        <x:v>0</x:v>
      </x:c>
      <x:c r="Y82" s="47">
        <x:v>44286</x:v>
      </x:c>
      <x:c r="Z82" s="50">
        <x:v>108499479932.2325</x:v>
      </x:c>
      <x:c r="AA82" s="54">
        <x:f t="shared" si="60"/>
        <x:v>25.410011216664124</x:v>
      </x:c>
      <x:c r="AB82" s="54">
        <x:f t="shared" si="68"/>
        <x:v>8.2266461936768565E-3</x:v>
      </x:c>
      <x:c r="AC82" s="54">
        <x:f t="shared" si="76"/>
        <x:v>2.5594454326504777E-2</x:v>
      </x:c>
      <x:c r="AD82" s="54">
        <x:f t="shared" si="77"/>
        <x:v>-2.3118669223323143E-2</x:v>
      </x:c>
      <x:c r="AE82" s="55"/>
      <x:c r="AF82" s="47">
        <x:v>44286</x:v>
      </x:c>
      <x:c r="AG82" s="50">
        <x:v>30979655370.0718</x:v>
      </x:c>
      <x:c r="AH82" s="54">
        <x:f t="shared" si="61"/>
        <x:v>24.15659654760185</x:v>
      </x:c>
      <x:c r="AI82" s="54">
        <x:f t="shared" si="69"/>
        <x:v>4.8712077493142658E-2</x:v>
      </x:c>
      <x:c r="AJ82" s="54">
        <x:f t="shared" si="53"/>
        <x:v>1.2800938081262807E-2</x:v>
      </x:c>
      <x:c r="AK82" s="54">
        <x:f t="shared" si="70"/>
        <x:v>4.5638077493142637E-2</x:v>
      </x:c>
      <x:c r="AL82" s="55">
        <x:f t="shared" si="62"/>
        <x:v>4.6382710655451326E-2</x:v>
      </x:c>
      <x:c r="AM82" s="47">
        <x:v>44286</x:v>
      </x:c>
      <x:c r="AN82" s="50">
        <x:v>284834765076.125</x:v>
      </x:c>
      <x:c r="AO82" s="54">
        <x:f t="shared" si="63"/>
        <x:v>26.375175077419762</x:v>
      </x:c>
      <x:c r="AP82" s="54">
        <x:f t="shared" si="71"/>
        <x:v>9.4400576866746633E-3</x:v>
      </x:c>
      <x:c r="AQ82" s="54">
        <x:f t="shared" si="51"/>
        <x:v>3.6347506153964031E-3</x:v>
      </x:c>
      <x:c r="AR82" s="55">
        <x:f t="shared" si="52"/>
        <x:v>9.020973193674663E-3</x:v>
      </x:c>
    </x:row>
    <x:row r="83">
      <x:c r="B83" s="47">
        <x:v>44316</x:v>
      </x:c>
      <x:c r="C83" s="50">
        <x:v>234454050873.07349</x:v>
      </x:c>
      <x:c r="D83" s="54">
        <x:f t="shared" si="57"/>
        <x:v>26.18052546052883</x:v>
      </x:c>
      <x:c r="E83" s="54">
        <x:f t="shared" si="64"/>
        <x:v>9.4066394528123709E-2</x:v>
      </x:c>
      <x:c r="F83" s="54">
        <x:f t="shared" si="72"/>
        <x:v>0.1272689574216741</x:v>
      </x:c>
      <x:c r="G83" s="54">
        <x:f t="shared" si="73"/>
        <x:v>8.125539452812372E-2</x:v>
      </x:c>
      <x:c r="H83" s="55"/>
      <x:c r="J83" s="47">
        <x:v>44316</x:v>
      </x:c>
      <x:c r="K83" s="50">
        <x:v>153284393</x:v>
      </x:c>
      <x:c r="L83" s="54">
        <x:f t="shared" si="58"/>
        <x:v>-1.875460305201591</x:v>
      </x:c>
      <x:c r="M83" s="54">
        <x:f t="shared" si="65"/>
        <x:v>-0.12811984339923033</x:v>
      </x:c>
      <x:c r="N83" s="54">
        <x:f t="shared" si="54"/>
        <x:v>-8.3277688256961344E-2</x:v>
      </x:c>
      <x:c r="O83" s="54">
        <x:f t="shared" si="55"/>
        <x:v>-0.12811984339923033</x:v>
      </x:c>
      <x:c r="P83" s="55">
        <x:f t="shared" si="56"/>
        <x:v>0</x:v>
      </x:c>
      <x:c r="R83" s="47">
        <x:v>44316</x:v>
      </x:c>
      <x:c r="S83" s="50">
        <x:v>42740821.25</x:v>
      </x:c>
      <x:c r="T83" s="54">
        <x:f t="shared" si="59"/>
        <x:v>-3.1526008142546842</x:v>
      </x:c>
      <x:c r="U83" s="54">
        <x:f t="shared" si="66"/>
        <x:v>-0.71409698118859799</x:v>
      </x:c>
      <x:c r="V83" s="54">
        <x:f t="shared" si="74"/>
        <x:v>-1.5163298470115398</x:v>
      </x:c>
      <x:c r="W83" s="54">
        <x:f t="shared" si="67"/>
        <x:v>-0.726269631188598</x:v>
      </x:c>
      <x:c r="X83" s="55">
        <x:f t="shared" si="75"/>
        <x:v>0</x:v>
      </x:c>
      <x:c r="Y83" s="47">
        <x:v>44316</x:v>
      </x:c>
      <x:c r="Z83" s="50">
        <x:v>107963802967.89549</x:v>
      </x:c>
      <x:c r="AA83" s="54">
        <x:f t="shared" si="60"/>
        <x:v>25.405061850188062</x:v>
      </x:c>
      <x:c r="AB83" s="54">
        <x:f t="shared" si="68"/>
        <x:v>-4.9493664760618117E-3</x:v>
      </x:c>
      <x:c r="AC83" s="54">
        <x:f t="shared" si="76"/>
        <x:v>-1.2545388321248869E-2</x:v>
      </x:c>
      <x:c r="AD83" s="54">
        <x:f t="shared" si="77"/>
        <x:v>-3.6294681893061814E-2</x:v>
      </x:c>
      <x:c r="AE83" s="55"/>
      <x:c r="AF83" s="47">
        <x:v>44316</x:v>
      </x:c>
      <x:c r="AG83" s="50">
        <x:v>32154701005.252697</x:v>
      </x:c>
      <x:c r="AH83" s="54">
        <x:f t="shared" si="61"/>
        <x:v>24.193824497943986</x:v>
      </x:c>
      <x:c r="AI83" s="54">
        <x:f t="shared" si="69"/>
        <x:v>3.722795034213533E-2</x:v>
      </x:c>
      <x:c r="AJ83" s="54">
        <x:f t="shared" si="53"/>
        <x:v>2.0397482921405374E-2</x:v>
      </x:c>
      <x:c r="AK83" s="54">
        <x:f t="shared" si="70"/>
        <x:v>3.4153950342135336E-2</x:v>
      </x:c>
      <x:c r="AL83" s="55">
        <x:f t="shared" si="62"/>
        <x:v>8.0536660997586662E-2</x:v>
      </x:c>
      <x:c r="AM83" s="47">
        <x:v>44316</x:v>
      </x:c>
      <x:c r="AN83" s="50">
        <x:v>290784912810.125</x:v>
      </x:c>
      <x:c r="AO83" s="54">
        <x:f t="shared" si="63"/>
        <x:v>26.395849699589053</x:v>
      </x:c>
      <x:c r="AP83" s="54">
        <x:f t="shared" si="71"/>
        <x:v>2.0674622169291723E-2</x:v>
      </x:c>
      <x:c r="AQ83" s="54">
        <x:f t="shared" si="51"/>
        <x:v>1.8494402863783847E-2</x:v>
      </x:c>
      <x:c r="AR83" s="55">
        <x:f t="shared" si="52"/>
        <x:v>2.0255537676291725E-2</x:v>
      </x:c>
    </x:row>
    <x:row r="84">
      <x:c r="B84" s="47">
        <x:v>44347</x:v>
      </x:c>
      <x:c r="C84" s="50">
        <x:v>264265380726.45102</x:v>
      </x:c>
      <x:c r="D84" s="54">
        <x:f t="shared" si="57"/>
        <x:v>26.300219665211799</x:v>
      </x:c>
      <x:c r="E84" s="54">
        <x:f t="shared" si="64"/>
        <x:v>0.11969420468296832</x:v>
      </x:c>
      <x:c r="F84" s="54">
        <x:f t="shared" si="72"/>
        <x:v>0.18352849514041936</x:v>
      </x:c>
      <x:c r="G84" s="54">
        <x:f t="shared" si="73"/>
        <x:v>0.10688320468296833</x:v>
      </x:c>
      <x:c r="H84" s="55"/>
      <x:c r="J84" s="47">
        <x:v>44347</x:v>
      </x:c>
      <x:c r="K84" s="50">
        <x:v>134172961</x:v>
      </x:c>
      <x:c r="L84" s="54">
        <x:f t="shared" si="58"/>
        <x:v>-2.0086255576063552</x:v>
      </x:c>
      <x:c r="M84" s="54">
        <x:f t="shared" si="65"/>
        <x:v>-0.13316525240476418</x:v>
      </x:c>
      <x:c r="N84" s="54">
        <x:f t="shared" si="54"/>
        <x:v>-0.19307062182350149</x:v>
      </x:c>
      <x:c r="O84" s="54">
        <x:f t="shared" si="55"/>
        <x:v>-0.13316525240476421</x:v>
      </x:c>
      <x:c r="P84" s="55">
        <x:f t="shared" si="56"/>
        <x:v>0</x:v>
      </x:c>
      <x:c r="R84" s="47">
        <x:v>44347</x:v>
      </x:c>
      <x:c r="S84" s="50">
        <x:v>77061724.25</x:v>
      </x:c>
      <x:c r="T84" s="54">
        <x:f t="shared" si="59"/>
        <x:v>-2.5631485646127024</x:v>
      </x:c>
      <x:c r="U84" s="54">
        <x:f t="shared" si="66"/>
        <x:v>0.58945224964198184</x:v>
      </x:c>
      <x:c r="V84" s="54">
        <x:f t="shared" si="74"/>
        <x:v>-0.74443846823170112</x:v>
      </x:c>
      <x:c r="W84" s="54">
        <x:f t="shared" si="67"/>
        <x:v>0.57727959964198183</x:v>
      </x:c>
      <x:c r="X84" s="55">
        <x:f t="shared" si="75"/>
        <x:v>0</x:v>
      </x:c>
      <x:c r="Y84" s="47">
        <x:v>44347</x:v>
      </x:c>
      <x:c r="Z84" s="50">
        <x:v>111831413893.4285</x:v>
      </x:c>
      <x:c r="AA84" s="54">
        <x:f t="shared" si="60"/>
        <x:v>25.440258341145682</x:v>
      </x:c>
      <x:c r="AB84" s="54">
        <x:f t="shared" si="68"/>
        <x:v>3.5196490957620341E-2</x:v>
      </x:c>
      <x:c r="AC84" s="54">
        <x:f t="shared" si="76"/>
        <x:v>4.4008474783137838E-3</x:v>
      </x:c>
      <x:c r="AD84" s="54">
        <x:f t="shared" si="77"/>
        <x:v>3.8511755406203454E-3</x:v>
      </x:c>
      <x:c r="AE84" s="55"/>
      <x:c r="AF84" s="47">
        <x:v>44347</x:v>
      </x:c>
      <x:c r="AG84" s="50">
        <x:v>33088674507.782402</x:v>
      </x:c>
      <x:c r="AH84" s="54">
        <x:f t="shared" si="61"/>
        <x:v>24.222456900893651</x:v>
      </x:c>
      <x:c r="AI84" s="54">
        <x:f t="shared" si="69"/>
        <x:v>2.8632402949664737E-2</x:v>
      </x:c>
      <x:c r="AJ84" s="54">
        <x:f t="shared" si="53"/>
        <x:v>8.0199436576111581E-3</x:v>
      </x:c>
      <x:c r="AK84" s="54">
        <x:f t="shared" si="70"/>
        <x:v>2.5558402949664744E-2</x:v>
      </x:c>
      <x:c r="AL84" s="55">
        <x:f t="shared" si="62"/>
        <x:v>0.10609506394725141</x:v>
      </x:c>
      <x:c r="AM84" s="47">
        <x:v>44347</x:v>
      </x:c>
      <x:c r="AN84" s="50">
        <x:v>292863186225.09497</x:v>
      </x:c>
      <x:c r="AO84" s="54">
        <x:f t="shared" si="63"/>
        <x:v>26.402971395701204</x:v>
      </x:c>
      <x:c r="AP84" s="54">
        <x:f t="shared" si="71"/>
        <x:v>7.1216961121507438E-3</x:v>
      </x:c>
      <x:c r="AQ84" s="54" t="n">
        <x:f t="shared" ref="AQ84:AQ115" si="78">AP84-$AO$6-$AP$6*AP72-$AQ$6*AQ72</x:f>
        <x:v>0.0028022000606194968</x:v>
      </x:c>
      <x:c r="AR84" s="55" t="n">
        <x:f t="shared" ref="AR84:AR115" si="79">$AP$6*AP72+AQ84+$AQ$6*AQ72</x:f>
        <x:v>0.0067026116191507435</x:v>
      </x:c>
    </x:row>
    <x:row r="85">
      <x:c r="B85" s="47">
        <x:v>44377</x:v>
      </x:c>
      <x:c r="C85" s="50">
        <x:v>230082170242.56628</x:v>
      </x:c>
      <x:c r="D85" s="54">
        <x:f t="shared" si="57"/>
        <x:v>26.161702343990964</x:v>
      </x:c>
      <x:c r="E85" s="54">
        <x:f t="shared" si="64"/>
        <x:v>-0.13851732122083504</x:v>
      </x:c>
      <x:c r="F85" s="54">
        <x:f t="shared" si="72"/>
        <x:v>-5.5437519465203991E-2</x:v>
      </x:c>
      <x:c r="G85" s="54">
        <x:f t="shared" si="73"/>
        <x:v>-0.15132832122083503</x:v>
      </x:c>
      <x:c r="H85" s="55"/>
      <x:c r="J85" s="47">
        <x:v>44377</x:v>
      </x:c>
      <x:c r="K85" s="50">
        <x:v>107778277</x:v>
      </x:c>
      <x:c r="L85" s="54">
        <x:f t="shared" si="58"/>
        <x:v>-2.2276791528728923</x:v>
      </x:c>
      <x:c r="M85" s="54">
        <x:f t="shared" si="65"/>
        <x:v>-0.21905359526653712</x:v>
      </x:c>
      <x:c r="N85" s="54">
        <x:f t="shared" si="54"/>
        <x:v>-0.31979218841146972</x:v>
      </x:c>
      <x:c r="O85" s="54">
        <x:f t="shared" si="55"/>
        <x:v>-0.21905359526653712</x:v>
      </x:c>
      <x:c r="P85" s="55">
        <x:f t="shared" si="56"/>
        <x:v>0</x:v>
      </x:c>
      <x:c r="R85" s="47">
        <x:v>44377</x:v>
      </x:c>
      <x:c r="S85" s="50">
        <x:v>58036133.25</x:v>
      </x:c>
      <x:c r="T85" s="54">
        <x:f t="shared" si="59"/>
        <x:v>-2.8466894753426377</x:v>
      </x:c>
      <x:c r="U85" s="54">
        <x:f t="shared" si="66"/>
        <x:v>-0.28354091072993537</x:v>
      </x:c>
      <x:c r="V85" s="54">
        <x:f t="shared" si="74"/>
        <x:v>-1.2007945663781914</x:v>
      </x:c>
      <x:c r="W85" s="54">
        <x:f t="shared" si="67"/>
        <x:v>-0.29571356072993538</x:v>
      </x:c>
      <x:c r="X85" s="55">
        <x:f t="shared" si="75"/>
        <x:v>0</x:v>
      </x:c>
      <x:c r="Y85" s="47">
        <x:v>44377</x:v>
      </x:c>
      <x:c r="Z85" s="50">
        <x:v>111970041783.33699</x:v>
      </x:c>
      <x:c r="AA85" s="54">
        <x:f t="shared" si="60"/>
        <x:v>25.441497188383909</x:v>
      </x:c>
      <x:c r="AB85" s="54">
        <x:f t="shared" si="68"/>
        <x:v>1.2388472382269811E-3</x:v>
      </x:c>
      <x:c r="AC85" s="54">
        <x:f t="shared" si="76"/>
        <x:v>9.1815585575434656E-3</x:v>
      </x:c>
      <x:c r="AD85" s="54">
        <x:f t="shared" si="77"/>
        <x:v>-3.0106468178773015E-2</x:v>
      </x:c>
      <x:c r="AE85" s="55"/>
      <x:c r="AF85" s="47">
        <x:v>44377</x:v>
      </x:c>
      <x:c r="AG85" s="50">
        <x:v>33732948831.404602</x:v>
      </x:c>
      <x:c r="AH85" s="54">
        <x:f t="shared" si="61"/>
        <x:v>24.241740906788188</x:v>
      </x:c>
      <x:c r="AI85" s="54">
        <x:f t="shared" si="69"/>
        <x:v>1.928400589453716E-2</x:v>
      </x:c>
      <x:c r="AJ85" s="54" t="n">
        <x:f t="shared" ref="AJ85:AJ116" si="80">AL85-$AI$6*AL84-$AJ$6*AL73-$AK$6*AL72-$AL$6*AJ73</x:f>
        <x:v>0.011143376160152072</x:v>
      </x:c>
      <x:c r="AK85" s="54">
        <x:f t="shared" si="70"/>
        <x:v>1.6210005894537166E-2</x:v>
      </x:c>
      <x:c r="AL85" s="55">
        <x:f t="shared" si="62"/>
        <x:v>0.12230506984178857</x:v>
      </x:c>
      <x:c r="AM85" s="47">
        <x:v>44377</x:v>
      </x:c>
      <x:c r="AN85" s="50">
        <x:v>293869779566.67401</x:v>
      </x:c>
      <x:c r="AO85" s="54">
        <x:f t="shared" si="63"/>
        <x:v>26.406402579520147</x:v>
      </x:c>
      <x:c r="AP85" s="54">
        <x:f t="shared" si="71"/>
        <x:v>3.4311838189431398E-3</x:v>
      </x:c>
      <x:c r="AQ85" s="54">
        <x:f t="shared" si="78"/>
        <x:v>1.2353630262930946E-3</x:v>
      </x:c>
      <x:c r="AR85" s="55">
        <x:f t="shared" si="79"/>
        <x:v>3.0120993259431395E-3</x:v>
      </x:c>
    </x:row>
    <x:row r="86">
      <x:c r="B86" s="47">
        <x:v>44408</x:v>
      </x:c>
      <x:c r="C86" s="50">
        <x:v>213818595383.82132</x:v>
      </x:c>
      <x:c r="D86" s="54">
        <x:f t="shared" si="57"/>
        <x:v>26.088393807357729</x:v>
      </x:c>
      <x:c r="E86" s="54">
        <x:f t="shared" si="64"/>
        <x:v>-7.3308536633234667E-2</x:v>
      </x:c>
      <x:c r="F86" s="54">
        <x:f t="shared" si="72"/>
        <x:v>-6.9246015507554118E-2</x:v>
      </x:c>
      <x:c r="G86" s="54">
        <x:f t="shared" si="73"/>
        <x:v>-8.6119536633234656E-2</x:v>
      </x:c>
      <x:c r="H86" s="55"/>
      <x:c r="J86" s="47">
        <x:v>44408</x:v>
      </x:c>
      <x:c r="K86" s="50">
        <x:v>105369736</x:v>
      </x:c>
      <x:c r="L86" s="54">
        <x:f t="shared" si="58"/>
        <x:v>-2.2502798188308004</x:v>
      </x:c>
      <x:c r="M86" s="54">
        <x:f t="shared" si="65"/>
        <x:v>-2.2600665957908106E-2</x:v>
      </x:c>
      <x:c r="N86" s="54" t="n">
        <x:f t="shared" ref="N86:N117" si="81">M86-$M$6*M85-$N$6*M74-$O$6*M73-$P$6*N85</x:f>
        <x:v>-0.18135886352291847</x:v>
      </x:c>
      <x:c r="O86" s="54" t="n">
        <x:f t="shared" ref="O86:O117" si="82">$M$6*M85+$N$6*M74+$O$6*M73+N86+$P$6*N85</x:f>
        <x:v>-0.022600665957908106</x:v>
      </x:c>
      <x:c r="P86" s="55" t="n">
        <x:f t="shared" ref="P86:P117" si="83">M86-($L$6+O86)</x:f>
        <x:v>0</x:v>
      </x:c>
      <x:c r="R86" s="47">
        <x:v>44408</x:v>
      </x:c>
      <x:c r="S86" s="50">
        <x:v>75618571.25</x:v>
      </x:c>
      <x:c r="T86" s="54">
        <x:f t="shared" si="59"/>
        <x:v>-2.5820533745090017</x:v>
      </x:c>
      <x:c r="U86" s="54">
        <x:f t="shared" si="66"/>
        <x:v>0.26463610083363598</x:v>
      </x:c>
      <x:c r="V86" s="54">
        <x:f t="shared" si="74"/>
        <x:v>-0.87105813645469221</x:v>
      </x:c>
      <x:c r="W86" s="54">
        <x:f t="shared" si="67"/>
        <x:v>0.25246345083363597</x:v>
      </x:c>
      <x:c r="X86" s="55">
        <x:f t="shared" si="75"/>
        <x:v>0</x:v>
      </x:c>
      <x:c r="Y86" s="47">
        <x:v>44408</x:v>
      </x:c>
      <x:c r="Z86" s="50">
        <x:v>113099933589.63199</x:v>
      </x:c>
      <x:c r="AA86" s="54">
        <x:f t="shared" si="60"/>
        <x:v>25.451537632885572</x:v>
      </x:c>
      <x:c r="AB86" s="54">
        <x:f t="shared" si="68"/>
        <x:v>1.0040444501662193E-2</x:v>
      </x:c>
      <x:c r="AC86" s="54">
        <x:f t="shared" si="76"/>
        <x:v>-1.4930466469765128E-3</x:v>
      </x:c>
      <x:c r="AD86" s="54">
        <x:f t="shared" si="77"/>
        <x:v>-2.1304870915337802E-2</x:v>
      </x:c>
      <x:c r="AE86" s="55"/>
      <x:c r="AF86" s="47">
        <x:v>44408</x:v>
      </x:c>
      <x:c r="AG86" s="50">
        <x:v>33601067333.567398</x:v>
      </x:c>
      <x:c r="AH86" s="54">
        <x:f t="shared" si="61"/>
        <x:v>24.237823669291028</x:v>
      </x:c>
      <x:c r="AI86" s="54">
        <x:f t="shared" si="69"/>
        <x:v>-3.9172374971592205E-3</x:v>
      </x:c>
      <x:c r="AJ86" s="54">
        <x:f t="shared" si="80"/>
        <x:v>5.3150900463300871E-4</x:v>
      </x:c>
      <x:c r="AK86" s="54">
        <x:f t="shared" si="70"/>
        <x:v>-6.9912374971592417E-3</x:v>
      </x:c>
      <x:c r="AL86" s="55">
        <x:f t="shared" si="62"/>
        <x:v>0.11531383234462933</x:v>
      </x:c>
      <x:c r="AM86" s="47">
        <x:v>44408</x:v>
      </x:c>
      <x:c r="AN86" s="50">
        <x:v>298556222293.02399</x:v>
      </x:c>
      <x:c r="AO86" s="54">
        <x:f t="shared" si="63"/>
        <x:v>26.422224101433912</x:v>
      </x:c>
      <x:c r="AP86" s="54">
        <x:f t="shared" si="71"/>
        <x:v>1.5821521913764514E-2</x:v>
      </x:c>
      <x:c r="AQ86" s="54">
        <x:f t="shared" si="78"/>
        <x:v>4.34925687286674E-3</x:v>
      </x:c>
      <x:c r="AR86" s="55">
        <x:f t="shared" si="79"/>
        <x:v>1.5402437420764513E-2</x:v>
      </x:c>
    </x:row>
    <x:row r="87">
      <x:c r="B87" s="47">
        <x:v>44439</x:v>
      </x:c>
      <x:c r="C87" s="50">
        <x:v>225209507005.52631</x:v>
      </x:c>
      <x:c r="D87" s="54">
        <x:f t="shared" si="57"/>
        <x:v>26.140296948153594</x:v>
      </x:c>
      <x:c r="E87" s="54">
        <x:f t="shared" si="64"/>
        <x:v>5.1903140795864999E-2</x:v>
      </x:c>
      <x:c r="F87" s="54">
        <x:f t="shared" si="72"/>
        <x:v>1.3802069559434842E-3</x:v>
      </x:c>
      <x:c r="G87" s="54">
        <x:f t="shared" si="73"/>
        <x:v>3.9092140795864996E-2</x:v>
      </x:c>
      <x:c r="H87" s="55"/>
      <x:c r="J87" s="47">
        <x:v>44439</x:v>
      </x:c>
      <x:c r="K87" s="50">
        <x:v>481410346</x:v>
      </x:c>
      <x:c r="L87" s="54">
        <x:f t="shared" si="58"/>
        <x:v>-0.73103526238093008</x:v>
      </x:c>
      <x:c r="M87" s="54">
        <x:f t="shared" si="65"/>
        <x:v>1.5192445564498702</x:v>
      </x:c>
      <x:c r="N87" s="54">
        <x:f t="shared" si="81"/>
        <x:v>1.3199109234967166</x:v>
      </x:c>
      <x:c r="O87" s="54">
        <x:f t="shared" si="82"/>
        <x:v>1.5192445564498702</x:v>
      </x:c>
      <x:c r="P87" s="55">
        <x:f t="shared" si="83"/>
        <x:v>0</x:v>
      </x:c>
      <x:c r="R87" s="47">
        <x:v>44439</x:v>
      </x:c>
      <x:c r="S87" s="50">
        <x:v>113921735.25</x:v>
      </x:c>
      <x:c r="T87" s="54">
        <x:f t="shared" si="59"/>
        <x:v>-2.1722435992540023</x:v>
      </x:c>
      <x:c r="U87" s="54">
        <x:f t="shared" si="66"/>
        <x:v>0.4098097752549994</x:v>
      </x:c>
      <x:c r="V87" s="54">
        <x:f t="shared" si="74"/>
        <x:v>-0.54554189080573234</x:v>
      </x:c>
      <x:c r="W87" s="54">
        <x:f t="shared" si="67"/>
        <x:v>0.39763712525499939</x:v>
      </x:c>
      <x:c r="X87" s="55">
        <x:f t="shared" si="75"/>
        <x:v>0</x:v>
      </x:c>
      <x:c r="Y87" s="47">
        <x:v>44439</x:v>
      </x:c>
      <x:c r="Z87" s="50">
        <x:v>113296487432.66199</x:v>
      </x:c>
      <x:c r="AA87" s="54">
        <x:f t="shared" si="60"/>
        <x:v>25.45327400214023</x:v>
      </x:c>
      <x:c r="AB87" s="54">
        <x:f t="shared" si="68"/>
        <x:v>1.7363692546581433E-3</x:v>
      </x:c>
      <x:c r="AC87" s="54">
        <x:f t="shared" si="76"/>
        <x:v>-2.4518251399301548E-2</x:v>
      </x:c>
      <x:c r="AD87" s="54">
        <x:f t="shared" si="77"/>
        <x:v>-2.9608946162341849E-2</x:v>
      </x:c>
      <x:c r="AE87" s="55"/>
      <x:c r="AF87" s="47">
        <x:v>44439</x:v>
      </x:c>
      <x:c r="AG87" s="50">
        <x:v>29240110352.523102</x:v>
      </x:c>
      <x:c r="AH87" s="54">
        <x:f t="shared" si="61"/>
        <x:v>24.098807245846967</x:v>
      </x:c>
      <x:c r="AI87" s="54">
        <x:f t="shared" si="69"/>
        <x:v>-0.13901642344406184</x:v>
      </x:c>
      <x:c r="AJ87" s="54">
        <x:f t="shared" si="80"/>
        <x:v>-4.2796562218780261E-2</x:v>
      </x:c>
      <x:c r="AK87" s="54">
        <x:f t="shared" si="70"/>
        <x:v>-0.14209042344406184</x:v>
      </x:c>
      <x:c r="AL87" s="55">
        <x:f t="shared" si="62"/>
        <x:v>-2.6776591099432506E-2</x:v>
      </x:c>
      <x:c r="AM87" s="47">
        <x:v>44439</x:v>
      </x:c>
      <x:c r="AN87" s="50">
        <x:v>297059716131.87396</x:v>
      </x:c>
      <x:c r="AO87" s="54">
        <x:f t="shared" si="63"/>
        <x:v>26.417199019955454</x:v>
      </x:c>
      <x:c r="AP87" s="54">
        <x:f t="shared" si="71"/>
        <x:v>-5.0250814784575937E-3</x:v>
      </x:c>
      <x:c r="AQ87" s="54">
        <x:f t="shared" si="78"/>
        <x:v>-2.3833325839722874E-3</x:v>
      </x:c>
      <x:c r="AR87" s="55">
        <x:f t="shared" si="79"/>
        <x:v>-5.4441659714575931E-3</x:v>
      </x:c>
    </x:row>
    <x:row r="88">
      <x:c r="B88" s="47">
        <x:v>44469</x:v>
      </x:c>
      <x:c r="C88" s="50">
        <x:v>231042293773.5896</x:v>
      </x:c>
      <x:c r="D88" s="54">
        <x:f t="shared" si="57"/>
        <x:v>26.165866620638248</x:v>
      </x:c>
      <x:c r="E88" s="54">
        <x:f t="shared" si="64"/>
        <x:v>2.5569672484653694E-2</x:v>
      </x:c>
      <x:c r="F88" s="54">
        <x:f t="shared" si="72"/>
        <x:v>-1.0176281653075832E-3</x:v>
      </x:c>
      <x:c r="G88" s="54">
        <x:f t="shared" si="73"/>
        <x:v>1.2758672484653694E-2</x:v>
      </x:c>
      <x:c r="H88" s="55"/>
      <x:c r="J88" s="47">
        <x:v>44469</x:v>
      </x:c>
      <x:c r="K88" s="50">
        <x:v>1159202268</x:v>
      </x:c>
      <x:c r="L88" s="54">
        <x:f t="shared" si="58"/>
        <x:v>0.14773206854416074</x:v>
      </x:c>
      <x:c r="M88" s="54">
        <x:f t="shared" si="65"/>
        <x:v>0.87876733092509085</x:v>
      </x:c>
      <x:c r="N88" s="54">
        <x:f t="shared" si="81"/>
        <x:v>0.70106633733850543</x:v>
      </x:c>
      <x:c r="O88" s="54">
        <x:f t="shared" si="82"/>
        <x:v>0.87876733092509096</x:v>
      </x:c>
      <x:c r="P88" s="55">
        <x:f t="shared" si="83"/>
        <x:v>0</x:v>
      </x:c>
      <x:c r="R88" s="47">
        <x:v>44469</x:v>
      </x:c>
      <x:c r="S88" s="50">
        <x:v>121118320.25</x:v>
      </x:c>
      <x:c r="T88" s="54">
        <x:f t="shared" si="59"/>
        <x:v>-2.1109873578667098</x:v>
      </x:c>
      <x:c r="U88" s="54">
        <x:f t="shared" si="66"/>
        <x:v>6.1256241387292576E-2</x:v>
      </x:c>
      <x:c r="V88" s="54">
        <x:f t="shared" si="74"/>
        <x:v>-0.60814314275402181</x:v>
      </x:c>
      <x:c r="W88" s="54">
        <x:f t="shared" si="67"/>
        <x:v>4.9083591387292576E-2</x:v>
      </x:c>
      <x:c r="X88" s="55">
        <x:f t="shared" si="75"/>
        <x:v>-5.5511151231257827E-17</x:v>
      </x:c>
      <x:c r="Y88" s="47">
        <x:v>44469</x:v>
      </x:c>
      <x:c r="Z88" s="50">
        <x:v>117593241377.83</x:v>
      </x:c>
      <x:c r="AA88" s="54">
        <x:f t="shared" si="60"/>
        <x:v>25.490497399482443</x:v>
      </x:c>
      <x:c r="AB88" s="54">
        <x:f t="shared" si="68"/>
        <x:v>3.722339734221336E-2</x:v>
      </x:c>
      <x:c r="AC88" s="54">
        <x:f t="shared" si="76"/>
        <x:v>2.442056550506802E-2</x:v>
      </x:c>
      <x:c r="AD88" s="54">
        <x:f t="shared" si="77"/>
        <x:v>5.8780819252133645E-3</x:v>
      </x:c>
      <x:c r="AE88" s="55"/>
      <x:c r="AF88" s="47">
        <x:v>44469</x:v>
      </x:c>
      <x:c r="AG88" s="50">
        <x:v>30666842780.916302</x:v>
      </x:c>
      <x:c r="AH88" s="54">
        <x:f t="shared" si="61"/>
        <x:v>24.146447868166817</x:v>
      </x:c>
      <x:c r="AI88" s="54">
        <x:f t="shared" si="69"/>
        <x:v>4.7640622319850223E-2</x:v>
      </x:c>
      <x:c r="AJ88" s="54">
        <x:f t="shared" si="80"/>
        <x:v>4.9019973339266026E-2</x:v>
      </x:c>
      <x:c r="AK88" s="54">
        <x:f t="shared" si="70"/>
        <x:v>4.456662231985023E-2</x:v>
      </x:c>
      <x:c r="AL88" s="55">
        <x:f t="shared" si="62"/>
        <x:v>1.7790031220417724E-2</x:v>
      </x:c>
      <x:c r="AM88" s="47">
        <x:v>44469</x:v>
      </x:c>
      <x:c r="AN88" s="50">
        <x:v>302705664331.34399</x:v>
      </x:c>
      <x:c r="AO88" s="54">
        <x:f t="shared" si="63"/>
        <x:v>26.43602676548927</x:v>
      </x:c>
      <x:c r="AP88" s="54">
        <x:f t="shared" si="71"/>
        <x:v>1.8827745533815943E-2</x:v>
      </x:c>
      <x:c r="AQ88" s="54">
        <x:f t="shared" si="78"/>
        <x:v>1.735793286116584E-2</x:v>
      </x:c>
      <x:c r="AR88" s="55">
        <x:f t="shared" si="79"/>
        <x:v>1.8408661040815948E-2</x:v>
      </x:c>
    </x:row>
    <x:row r="89">
      <x:c r="B89" s="47">
        <x:v>44500</x:v>
      </x:c>
      <x:c r="C89" s="50">
        <x:v>225441260676.15759</x:v>
      </x:c>
      <x:c r="D89" s="54">
        <x:f t="shared" si="57"/>
        <x:v>26.141325477150687</x:v>
      </x:c>
      <x:c r="E89" s="54">
        <x:f t="shared" si="64"/>
        <x:v>-2.4541143487560646E-2</x:v>
      </x:c>
      <x:c r="F89" s="54">
        <x:f t="shared" si="72"/>
        <x:v>-3.7453088117875656E-2</x:v>
      </x:c>
      <x:c r="G89" s="54">
        <x:f t="shared" si="73"/>
        <x:v>-3.7352143487560649E-2</x:v>
      </x:c>
      <x:c r="H89" s="55"/>
      <x:c r="J89" s="47">
        <x:v>44500</x:v>
      </x:c>
      <x:c r="K89" s="50">
        <x:v>1251394451</x:v>
      </x:c>
      <x:c r="L89" s="54">
        <x:f t="shared" si="58"/>
        <x:v>0.22425849033863643</x:v>
      </x:c>
      <x:c r="M89" s="54">
        <x:f t="shared" si="65"/>
        <x:v>7.6526421794475691E-2</x:v>
      </x:c>
      <x:c r="N89" s="54">
        <x:f t="shared" si="81"/>
        <x:v>0.30580268392293125</x:v>
      </x:c>
      <x:c r="O89" s="54">
        <x:f t="shared" si="82"/>
        <x:v>7.6526421794475663E-2</x:v>
      </x:c>
      <x:c r="P89" s="55">
        <x:f t="shared" si="83"/>
        <x:v>0</x:v>
      </x:c>
      <x:c r="R89" s="47">
        <x:v>44500</x:v>
      </x:c>
      <x:c r="S89" s="50">
        <x:v>125777105.25</x:v>
      </x:c>
      <x:c r="T89" s="54">
        <x:f t="shared" si="59"/>
        <x:v>-2.07324394452182</x:v>
      </x:c>
      <x:c r="U89" s="54">
        <x:f t="shared" si="66"/>
        <x:v>3.7743413344889731E-2</x:v>
      </x:c>
      <x:c r="V89" s="54">
        <x:f t="shared" si="74"/>
        <x:v>-0.59926645099004883</x:v>
      </x:c>
      <x:c r="W89" s="54">
        <x:f t="shared" si="67"/>
        <x:v>2.5570763344889731E-2</x:v>
      </x:c>
      <x:c r="X89" s="55">
        <x:f t="shared" si="75"/>
        <x:v>0</x:v>
      </x:c>
      <x:c r="Y89" s="47">
        <x:v>44500</x:v>
      </x:c>
      <x:c r="Z89" s="50">
        <x:v>117683837584.81799</x:v>
      </x:c>
      <x:c r="AA89" s="54">
        <x:f t="shared" si="60"/>
        <x:v>25.491267523047945</x:v>
      </x:c>
      <x:c r="AB89" s="54">
        <x:f t="shared" si="68"/>
        <x:v>7.7012356550199002E-4</x:v>
      </x:c>
      <x:c r="AC89" s="54">
        <x:f t="shared" si="76"/>
        <x:v>3.8877926014292971E-3</x:v>
      </x:c>
      <x:c r="AD89" s="54">
        <x:f t="shared" si="77"/>
        <x:v>-3.0575191851498002E-2</x:v>
      </x:c>
      <x:c r="AE89" s="55"/>
      <x:c r="AF89" s="47">
        <x:v>44500</x:v>
      </x:c>
      <x:c r="AG89" s="50">
        <x:v>31627745918.216202</x:v>
      </x:c>
      <x:c r="AH89" s="54">
        <x:f t="shared" si="61"/>
        <x:v>24.177300607678287</x:v>
      </x:c>
      <x:c r="AI89" s="54">
        <x:f t="shared" si="69"/>
        <x:v>3.0852739511470162E-2</x:v>
      </x:c>
      <x:c r="AJ89" s="54">
        <x:f t="shared" si="80"/>
        <x:v>1.1737489958292487E-2</x:v>
      </x:c>
      <x:c r="AK89" s="54">
        <x:f t="shared" si="70"/>
        <x:v>2.7778739511470141E-2</x:v>
      </x:c>
      <x:c r="AL89" s="55">
        <x:f t="shared" si="62"/>
        <x:v>4.5568770731887864E-2</x:v>
      </x:c>
      <x:c r="AM89" s="47">
        <x:v>44500</x:v>
      </x:c>
      <x:c r="AN89" s="50">
        <x:v>302715041725.62396</x:v>
      </x:c>
      <x:c r="AO89" s="54">
        <x:f t="shared" si="63"/>
        <x:v>26.43605774359817</x:v>
      </x:c>
      <x:c r="AP89" s="54">
        <x:f t="shared" si="71"/>
        <x:v>3.0978108899404333E-5</x:v>
      </x:c>
      <x:c r="AQ89" s="54">
        <x:f t="shared" si="78"/>
        <x:v>-8.1202162211852329E-3</x:v>
      </x:c>
      <x:c r="AR89" s="55">
        <x:f t="shared" si="79"/>
        <x:v>-3.8810638410059686E-4</x:v>
      </x:c>
    </x:row>
    <x:row r="90">
      <x:c r="B90" s="47">
        <x:v>44530</x:v>
      </x:c>
      <x:c r="C90" s="50">
        <x:v>250636191852.3793</x:v>
      </x:c>
      <x:c r="D90" s="54">
        <x:f t="shared" si="57"/>
        <x:v>26.247268289780298</x:v>
      </x:c>
      <x:c r="E90" s="54">
        <x:f t="shared" si="64"/>
        <x:v>0.10594281262961047</x:v>
      </x:c>
      <x:c r="F90" s="54">
        <x:f t="shared" si="72"/>
        <x:v>7.8716420575641294E-2</x:v>
      </x:c>
      <x:c r="G90" s="54">
        <x:f t="shared" si="73"/>
        <x:v>9.3131812629610455E-2</x:v>
      </x:c>
      <x:c r="H90" s="55"/>
      <x:c r="J90" s="47">
        <x:v>44530</x:v>
      </x:c>
      <x:c r="K90" s="50">
        <x:v>1191515149</x:v>
      </x:c>
      <x:c r="L90" s="54">
        <x:f t="shared" si="58"/>
        <x:v>0.17522573170160052</x:v>
      </x:c>
      <x:c r="M90" s="54">
        <x:f t="shared" si="65"/>
        <x:v>-4.9032758637035906E-2</x:v>
      </x:c>
      <x:c r="N90" s="54">
        <x:f t="shared" si="81"/>
        <x:v>0.84017614620227365</x:v>
      </x:c>
      <x:c r="O90" s="54">
        <x:f t="shared" si="82"/>
        <x:v>-4.9032758637036045E-2</x:v>
      </x:c>
      <x:c r="P90" s="55">
        <x:f t="shared" si="83"/>
        <x:v>1.3877787807814457E-16</x:v>
      </x:c>
      <x:c r="R90" s="47">
        <x:v>44530</x:v>
      </x:c>
      <x:c r="S90" s="50">
        <x:v>134398932.25</x:v>
      </x:c>
      <x:c r="T90" s="54">
        <x:f t="shared" si="59"/>
        <x:v>-2.0069427954930985</x:v>
      </x:c>
      <x:c r="U90" s="54">
        <x:f t="shared" si="66"/>
        <x:v>6.6301149028721529E-2</x:v>
      </x:c>
      <x:c r="V90" s="54">
        <x:f t="shared" si="74"/>
        <x:v>-0.5554241077850901</x:v>
      </x:c>
      <x:c r="W90" s="54">
        <x:f t="shared" si="67"/>
        <x:v>5.4128499028721529E-2</x:v>
      </x:c>
      <x:c r="X90" s="55">
        <x:f t="shared" si="75"/>
        <x:v>0</x:v>
      </x:c>
      <x:c r="Y90" s="47">
        <x:v>44530</x:v>
      </x:c>
      <x:c r="Z90" s="50">
        <x:v>118625128350.43399</x:v>
      </x:c>
      <x:c r="AA90" s="54">
        <x:f t="shared" si="60"/>
        <x:v>25.499234175860607</x:v>
      </x:c>
      <x:c r="AB90" s="54">
        <x:f t="shared" si="68"/>
        <x:v>7.9666528126622893E-3</x:v>
      </x:c>
      <x:c r="AC90" s="54">
        <x:f t="shared" si="76"/>
        <x:v>-1.9572538992628785E-2</x:v>
      </x:c>
      <x:c r="AD90" s="54">
        <x:f t="shared" si="77"/>
        <x:v>-2.3378662604337706E-2</x:v>
      </x:c>
      <x:c r="AE90" s="55"/>
      <x:c r="AF90" s="47">
        <x:v>44530</x:v>
      </x:c>
      <x:c r="AG90" s="50">
        <x:v>32292082423.258598</x:v>
      </x:c>
      <x:c r="AH90" s="54">
        <x:f t="shared" si="61"/>
        <x:v>24.198087910911777</x:v>
      </x:c>
      <x:c r="AI90" s="54">
        <x:f t="shared" si="69"/>
        <x:v>2.0787303233490206E-2</x:v>
      </x:c>
      <x:c r="AJ90" s="54">
        <x:f t="shared" si="80"/>
        <x:v>8.9502240196180118E-3</x:v>
      </x:c>
      <x:c r="AK90" s="54">
        <x:f t="shared" si="70"/>
        <x:v>1.7713303233490241E-2</x:v>
      </x:c>
      <x:c r="AL90" s="55">
        <x:f t="shared" si="62"/>
        <x:v>6.3282073965378105E-2</x:v>
      </x:c>
      <x:c r="AM90" s="47">
        <x:v>44530</x:v>
      </x:c>
      <x:c r="AN90" s="50">
        <x:v>305136070871.01398</x:v>
      </x:c>
      <x:c r="AO90" s="54">
        <x:f t="shared" si="63"/>
        <x:v>26.444023648068963</x:v>
      </x:c>
      <x:c r="AP90" s="54">
        <x:f t="shared" si="71"/>
        <x:v>7.9659044707938165E-3</x:v>
      </x:c>
      <x:c r="AQ90" s="54">
        <x:f t="shared" si="78"/>
        <x:v>4.0099131310281583E-3</x:v>
      </x:c>
      <x:c r="AR90" s="55">
        <x:f t="shared" si="79"/>
        <x:v>7.5468199777938179E-3</x:v>
      </x:c>
    </x:row>
    <x:row r="91">
      <x:c r="B91" s="47">
        <x:v>44561</x:v>
      </x:c>
      <x:c r="C91" s="50">
        <x:v>246296898766.38998</x:v>
      </x:c>
      <x:c r="D91" s="54">
        <x:f t="shared" si="57"/>
        <x:v>26.229803550708169</x:v>
      </x:c>
      <x:c r="E91" s="54">
        <x:f t="shared" si="64"/>
        <x:v>-1.746473907212831E-2</x:v>
      </x:c>
      <x:c r="F91" s="54">
        <x:f t="shared" si="72"/>
        <x:v>-8.1544212277366544E-3</x:v>
      </x:c>
      <x:c r="G91" s="54">
        <x:f t="shared" si="73"/>
        <x:v>-3.027573907212831E-2</x:v>
      </x:c>
      <x:c r="H91" s="55"/>
      <x:c r="J91" s="47">
        <x:v>44561</x:v>
      </x:c>
      <x:c r="K91" s="50">
        <x:v>935966748</x:v>
      </x:c>
      <x:c r="L91" s="54">
        <x:f t="shared" si="58"/>
        <x:v>-6.6175328776621162E-2</x:v>
      </x:c>
      <x:c r="M91" s="54">
        <x:f t="shared" si="65"/>
        <x:v>-0.24140106047822169</x:v>
      </x:c>
      <x:c r="N91" s="54">
        <x:f t="shared" si="81"/>
        <x:v>0.36240924843526867</x:v>
      </x:c>
      <x:c r="O91" s="54">
        <x:f t="shared" si="82"/>
        <x:v>-0.24140106047822163</x:v>
      </x:c>
      <x:c r="P91" s="55">
        <x:f t="shared" si="83"/>
        <x:v>0</x:v>
      </x:c>
      <x:c r="R91" s="47">
        <x:v>44561</x:v>
      </x:c>
      <x:c r="S91" s="50">
        <x:v>140042588.25</x:v>
      </x:c>
      <x:c r="T91" s="54">
        <x:f t="shared" si="59"/>
        <x:v>-1.9658087008471004</x:v>
      </x:c>
      <x:c r="U91" s="54">
        <x:f t="shared" si="66"/>
        <x:v>4.1134094645998154E-2</x:v>
      </x:c>
      <x:c r="V91" s="54">
        <x:f t="shared" si="74"/>
        <x:v>-0.54453161583216592</x:v>
      </x:c>
      <x:c r="W91" s="54">
        <x:f t="shared" si="67"/>
        <x:v>2.8961444645998154E-2</x:v>
      </x:c>
      <x:c r="X91" s="55">
        <x:f t="shared" si="75"/>
        <x:v>0</x:v>
      </x:c>
      <x:c r="Y91" s="47">
        <x:v>44561</x:v>
      </x:c>
      <x:c r="Z91" s="50">
        <x:v>123112101643.99699</x:v>
      </x:c>
      <x:c r="AA91" s="54">
        <x:f t="shared" si="60"/>
        <x:v>25.536361172729794</x:v>
      </x:c>
      <x:c r="AB91" s="54">
        <x:f t="shared" si="68"/>
        <x:v>3.7126996869186968E-2</x:v>
      </x:c>
      <x:c r="AC91" s="54">
        <x:f t="shared" si="76"/>
        <x:v>2.5928706165788764E-2</x:v>
      </x:c>
      <x:c r="AD91" s="54">
        <x:f t="shared" si="77"/>
        <x:v>5.7816814521869722E-3</x:v>
      </x:c>
      <x:c r="AE91" s="55"/>
      <x:c r="AF91" s="47">
        <x:v>44561</x:v>
      </x:c>
      <x:c r="AG91" s="50">
        <x:v>27394309887.5779</x:v>
      </x:c>
      <x:c r="AH91" s="54">
        <x:f t="shared" si="61"/>
        <x:v>24.033601160437808</x:v>
      </x:c>
      <x:c r="AI91" s="54">
        <x:f t="shared" si="69"/>
        <x:v>-0.16448675047396932</x:v>
      </x:c>
      <x:c r="AJ91" s="54">
        <x:f t="shared" si="80"/>
        <x:v>-8.361161858690408E-2</x:v>
      </x:c>
      <x:c r="AK91" s="54">
        <x:f t="shared" si="70"/>
        <x:v>-0.16756075047396934</x:v>
      </x:c>
      <x:c r="AL91" s="55">
        <x:f t="shared" si="62"/>
        <x:v>-0.10427867650859124</x:v>
      </x:c>
      <x:c r="AM91" s="47">
        <x:v>44561</x:v>
      </x:c>
      <x:c r="AN91" s="50">
        <x:v>310569381475.26398</x:v>
      </x:c>
      <x:c r="AO91" s="54">
        <x:f t="shared" si="63"/>
        <x:v>26.461673164164534</x:v>
      </x:c>
      <x:c r="AP91" s="54">
        <x:f t="shared" si="71"/>
        <x:v>1.7649516095570306E-2</x:v>
      </x:c>
      <x:c r="AQ91" s="54">
        <x:f t="shared" si="78"/>
        <x:v>6.8203505565305952E-4</x:v>
      </x:c>
      <x:c r="AR91" s="55">
        <x:f t="shared" si="79"/>
        <x:v>1.7230431602570307E-2</x:v>
      </x:c>
    </x:row>
    <x:row r="92">
      <x:c r="B92" s="47">
        <x:v>44592</x:v>
      </x:c>
      <x:c r="C92" s="50">
        <x:v>258750829708.67169</x:v>
      </x:c>
      <x:c r="D92" s="54">
        <x:f t="shared" si="57"/>
        <x:v>26.279131388124412</x:v>
      </x:c>
      <x:c r="E92" s="54">
        <x:f t="shared" si="64"/>
        <x:v>4.9327837416242915E-2</x:v>
      </x:c>
      <x:c r="F92" s="54">
        <x:f t="shared" si="72"/>
        <x:v>4.9679512242379681E-2</x:v>
      </x:c>
      <x:c r="G92" s="54">
        <x:f t="shared" si="73"/>
        <x:v>3.6516837416242912E-2</x:v>
      </x:c>
      <x:c r="H92" s="55"/>
      <x:c r="J92" s="47">
        <x:v>44592</x:v>
      </x:c>
      <x:c r="K92" s="50">
        <x:v>302592199</x:v>
      </x:c>
      <x:c r="L92" s="54">
        <x:f t="shared" si="58"/>
        <x:v>-1.1953692578676576</x:v>
      </x:c>
      <x:c r="M92" s="54">
        <x:f t="shared" si="65"/>
        <x:v>-1.1291939290910364</x:v>
      </x:c>
      <x:c r="N92" s="54">
        <x:f t="shared" si="81"/>
        <x:v>-0.65763263512042269</x:v>
      </x:c>
      <x:c r="O92" s="54">
        <x:f t="shared" si="82"/>
        <x:v>-1.1291939290910364</x:v>
      </x:c>
      <x:c r="P92" s="55">
        <x:f t="shared" si="83"/>
        <x:v>0</x:v>
      </x:c>
      <x:c r="R92" s="47">
        <x:v>44592</x:v>
      </x:c>
      <x:c r="S92" s="50">
        <x:v>132256113.25</x:v>
      </x:c>
      <x:c r="T92" s="54">
        <x:f t="shared" si="59"/>
        <x:v>-2.0230149843593273</x:v>
      </x:c>
      <x:c r="U92" s="54">
        <x:f t="shared" si="66"/>
        <x:v>-5.7206283512226896E-2</x:v>
      </x:c>
      <x:c r="V92" s="54">
        <x:f t="shared" si="74"/>
        <x:v>-0.62512076245712467</x:v>
      </x:c>
      <x:c r="W92" s="54">
        <x:f t="shared" si="67"/>
        <x:v>-6.9378933512226904E-2</x:v>
      </x:c>
      <x:c r="X92" s="55">
        <x:f t="shared" si="75"/>
        <x:v>-1.1102230246251565E-16</x:v>
      </x:c>
      <x:c r="Y92" s="47">
        <x:v>44592</x:v>
      </x:c>
      <x:c r="Z92" s="50">
        <x:v>122078603268.20599</x:v>
      </x:c>
      <x:c r="AA92" s="54">
        <x:f t="shared" si="60"/>
        <x:v>25.527930963298218</x:v>
      </x:c>
      <x:c r="AB92" s="54">
        <x:f t="shared" si="68"/>
        <x:v>-8.4302094315766851E-3</x:v>
      </x:c>
      <x:c r="AC92" s="54">
        <x:f t="shared" si="76"/>
        <x:v>2.6319653248551081E-4</x:v>
      </x:c>
      <x:c r="AD92" s="54">
        <x:f t="shared" si="77"/>
        <x:v>-3.9775524848576681E-2</x:v>
      </x:c>
      <x:c r="AE92" s="55"/>
      <x:c r="AF92" s="47">
        <x:v>44592</x:v>
      </x:c>
      <x:c r="AG92" s="50">
        <x:v>27661089100.6548</x:v>
      </x:c>
      <x:c r="AH92" s="54">
        <x:f t="shared" si="61"/>
        <x:v>24.043292536979621</x:v>
      </x:c>
      <x:c r="AI92" s="54">
        <x:f t="shared" si="69"/>
        <x:v>9.6913765418129572E-3</x:v>
      </x:c>
      <x:c r="AJ92" s="54">
        <x:f t="shared" si="80"/>
        <x:v>-2.5689503706209909E-2</x:v>
      </x:c>
      <x:c r="AK92" s="54">
        <x:f t="shared" si="70"/>
        <x:v>6.6173765418129915E-3</x:v>
      </x:c>
      <x:c r="AL92" s="55">
        <x:f t="shared" si="62"/>
        <x:v>-9.7661299966778248E-2</x:v>
      </x:c>
      <x:c r="AM92" s="47">
        <x:v>44592</x:v>
      </x:c>
      <x:c r="AN92" s="50">
        <x:v>319147073578.99701</x:v>
      </x:c>
      <x:c r="AO92" s="54">
        <x:f t="shared" si="63"/>
        <x:v>26.488917879184527</x:v>
      </x:c>
      <x:c r="AP92" s="54">
        <x:f t="shared" si="71"/>
        <x:v>2.7244715019993038E-2</x:v>
      </x:c>
      <x:c r="AQ92" s="54">
        <x:f t="shared" si="78"/>
        <x:v>1.6908705235996427E-2</x:v>
      </x:c>
      <x:c r="AR92" s="55">
        <x:f t="shared" si="79"/>
        <x:v>2.6825630526993036E-2</x:v>
      </x:c>
    </x:row>
    <x:row r="93">
      <x:c r="B93" s="47">
        <x:v>44620</x:v>
      </x:c>
      <x:c r="C93" s="50">
        <x:v>246421908652.12509</x:v>
      </x:c>
      <x:c r="D93" s="54">
        <x:f t="shared" si="57"/>
        <x:v>26.230310979637348</x:v>
      </x:c>
      <x:c r="E93" s="54">
        <x:f t="shared" si="64"/>
        <x:v>-4.8820408487063816E-2</x:v>
      </x:c>
      <x:c r="F93" s="54">
        <x:f t="shared" si="72"/>
        <x:v>-4.4472858468738032E-2</x:v>
      </x:c>
      <x:c r="G93" s="54">
        <x:f t="shared" si="73"/>
        <x:v>-6.1631408487063825E-2</x:v>
      </x:c>
      <x:c r="H93" s="55"/>
      <x:c r="J93" s="47">
        <x:v>44620</x:v>
      </x:c>
      <x:c r="K93" s="50">
        <x:v>147057570</x:v>
      </x:c>
      <x:c r="L93" s="54">
        <x:f t="shared" si="58"/>
        <x:v>-1.9169311362183905</x:v>
      </x:c>
      <x:c r="M93" s="54">
        <x:f t="shared" si="65"/>
        <x:v>-0.72156187835073293</x:v>
      </x:c>
      <x:c r="N93" s="54">
        <x:f t="shared" si="81"/>
        <x:v>-0.6556383273495312</x:v>
      </x:c>
      <x:c r="O93" s="54">
        <x:f t="shared" si="82"/>
        <x:v>-0.72156187835073282</x:v>
      </x:c>
      <x:c r="P93" s="55">
        <x:f t="shared" si="83"/>
        <x:v>0</x:v>
      </x:c>
      <x:c r="R93" s="47">
        <x:v>44620</x:v>
      </x:c>
      <x:c r="S93" s="50">
        <x:v>117585155.25</x:v>
      </x:c>
      <x:c r="T93" s="54">
        <x:f t="shared" si="59"/>
        <x:v>-2.1405924823527438</x:v>
      </x:c>
      <x:c r="U93" s="54">
        <x:f t="shared" si="66"/>
        <x:v>-0.11757749799341655</x:v>
      </x:c>
      <x:c r="V93" s="54">
        <x:f t="shared" si="74"/>
        <x:v>-0.73928056781437923</x:v>
      </x:c>
      <x:c r="W93" s="54">
        <x:f t="shared" si="67"/>
        <x:v>-0.12975014799341655</x:v>
      </x:c>
      <x:c r="X93" s="55">
        <x:f t="shared" si="75"/>
        <x:v>0</x:v>
      </x:c>
      <x:c r="Y93" s="47">
        <x:v>44620</x:v>
      </x:c>
      <x:c r="Z93" s="50">
        <x:v>125586321369.058</x:v>
      </x:c>
      <x:c r="AA93" s="54">
        <x:f t="shared" si="60"/>
        <x:v>25.55625917875248</x:v>
      </x:c>
      <x:c r="AB93" s="54">
        <x:f t="shared" si="68"/>
        <x:v>2.8328215454262562E-2</x:v>
      </x:c>
      <x:c r="AC93" s="54">
        <x:f t="shared" si="76"/>
        <x:v>-2.5108139653297803E-3</x:v>
      </x:c>
      <x:c r="AD93" s="54">
        <x:f t="shared" si="77"/>
        <x:v>-3.0170999627374354E-3</x:v>
      </x:c>
      <x:c r="AE93" s="55"/>
      <x:c r="AF93" s="47">
        <x:v>44620</x:v>
      </x:c>
      <x:c r="AG93" s="50">
        <x:v>28445143428.0732</x:v>
      </x:c>
      <x:c r="AH93" s="54">
        <x:f t="shared" si="61"/>
        <x:v>24.071243277431027</x:v>
      </x:c>
      <x:c r="AI93" s="54">
        <x:f t="shared" si="69"/>
        <x:v>2.7950740451405665E-2</x:v>
      </x:c>
      <x:c r="AJ93" s="54">
        <x:f t="shared" si="80"/>
        <x:v>-1.1503704520922808E-2</x:v>
      </x:c>
      <x:c r="AK93" s="54">
        <x:f t="shared" si="70"/>
        <x:v>2.4876740451405643E-2</x:v>
      </x:c>
      <x:c r="AL93" s="55">
        <x:f t="shared" si="62"/>
        <x:v>-7.2784559515372604E-2</x:v>
      </x:c>
      <x:c r="AM93" s="47">
        <x:v>44620</x:v>
      </x:c>
      <x:c r="AN93" s="50">
        <x:v>322037113233.23901</x:v>
      </x:c>
      <x:c r="AO93" s="54">
        <x:f t="shared" si="63"/>
        <x:v>26.497932634337388</x:v>
      </x:c>
      <x:c r="AP93" s="54">
        <x:f t="shared" si="71"/>
        <x:v>9.0147551528616532E-3</x:v>
      </x:c>
      <x:c r="AQ93" s="54">
        <x:f t="shared" si="78"/>
        <x:v>6.972312691240312E-3</x:v>
      </x:c>
      <x:c r="AR93" s="55">
        <x:f t="shared" si="79"/>
        <x:v>8.5956706598616529E-3</x:v>
      </x:c>
    </x:row>
    <x:row r="94">
      <x:c r="B94" s="47">
        <x:v>44651</x:v>
      </x:c>
      <x:c r="C94" s="50">
        <x:v>276332411241.2514</x:v>
      </x:c>
      <x:c r="D94" s="54">
        <x:f t="shared" si="57"/>
        <x:v>26.344870366524741</x:v>
      </x:c>
      <x:c r="E94" s="54">
        <x:f t="shared" si="64"/>
        <x:v>0.11455938688739309</x:v>
      </x:c>
      <x:c r="F94" s="54">
        <x:f t="shared" si="72"/>
        <x:v>9.5139843689148754E-2</x:v>
      </x:c>
      <x:c r="G94" s="54">
        <x:f t="shared" si="73"/>
        <x:v>0.10174838688739309</x:v>
      </x:c>
      <x:c r="H94" s="55"/>
      <x:c r="J94" s="47">
        <x:v>44651</x:v>
      </x:c>
      <x:c r="K94" s="50">
        <x:v>106376245</x:v>
      </x:c>
      <x:c r="L94" s="54">
        <x:f t="shared" si="58"/>
        <x:v>-2.2407729882792977</x:v>
      </x:c>
      <x:c r="M94" s="54">
        <x:f t="shared" si="65"/>
        <x:v>-0.32384185206090721</x:v>
      </x:c>
      <x:c r="N94" s="54">
        <x:f t="shared" si="81"/>
        <x:v>-0.57283339505418807</x:v>
      </x:c>
      <x:c r="O94" s="54">
        <x:f t="shared" si="82"/>
        <x:v>-0.32384185206090721</x:v>
      </x:c>
      <x:c r="P94" s="55">
        <x:f t="shared" si="83"/>
        <x:v>0</x:v>
      </x:c>
      <x:c r="R94" s="47">
        <x:v>44651</x:v>
      </x:c>
      <x:c r="S94" s="50">
        <x:v>119471090.25</x:v>
      </x:c>
      <x:c r="T94" s="54">
        <x:f t="shared" si="59"/>
        <x:v>-2.1246808594727051</x:v>
      </x:c>
      <x:c r="U94" s="54">
        <x:f t="shared" si="66"/>
        <x:v>1.5911622880038667E-2</x:v>
      </x:c>
      <x:c r="V94" s="54">
        <x:f t="shared" si="74"/>
        <x:v>-0.70349837577244179</x:v>
      </x:c>
      <x:c r="W94" s="54">
        <x:f t="shared" si="67"/>
        <x:v>3.7389728800386671E-3</x:v>
      </x:c>
      <x:c r="X94" s="55">
        <x:f t="shared" si="75"/>
        <x:v>0</x:v>
      </x:c>
      <x:c r="Y94" s="47">
        <x:v>44651</x:v>
      </x:c>
      <x:c r="Z94" s="50">
        <x:v>129415544883.97099</x:v>
      </x:c>
      <x:c r="AA94" s="54">
        <x:f t="shared" si="60"/>
        <x:v>25.586294342277032</x:v>
      </x:c>
      <x:c r="AB94" s="54">
        <x:f t="shared" si="68"/>
        <x:v>3.0035163524551933E-2</x:v>
      </x:c>
      <x:c r="AC94" s="54">
        <x:f t="shared" si="76"/>
        <x:v>2.4724038390113293E-2</x:v>
      </x:c>
      <x:c r="AD94" s="54">
        <x:f t="shared" si="77"/>
        <x:v>-1.3101518924480623E-3</x:v>
      </x:c>
      <x:c r="AE94" s="55"/>
      <x:c r="AF94" s="47">
        <x:v>44651</x:v>
      </x:c>
      <x:c r="AG94" s="50">
        <x:v>28807687340.922798</x:v>
      </x:c>
      <x:c r="AH94" s="54">
        <x:f t="shared" si="61"/>
        <x:v>24.083908110030908</x:v>
      </x:c>
      <x:c r="AI94" s="54">
        <x:f t="shared" si="69"/>
        <x:v>1.2664832599881493E-2</x:v>
      </x:c>
      <x:c r="AJ94" s="54">
        <x:f t="shared" si="80"/>
        <x:v>-3.4200505186243138E-2</x:v>
      </x:c>
      <x:c r="AK94" s="54">
        <x:f t="shared" si="70"/>
        <x:v>9.5908325998814714E-3</x:v>
      </x:c>
      <x:c r="AL94" s="55">
        <x:f t="shared" si="62"/>
        <x:v>-6.3193726915491133E-2</x:v>
      </x:c>
      <x:c r="AM94" s="47">
        <x:v>44651</x:v>
      </x:c>
      <x:c r="AN94" s="50">
        <x:v>323344202901.74799</x:v>
      </x:c>
      <x:c r="AO94" s="54">
        <x:f t="shared" si="63"/>
        <x:v>26.501983236432586</x:v>
      </x:c>
      <x:c r="AP94" s="54">
        <x:f t="shared" si="71"/>
        <x:v>4.0506020951980304E-3</x:v>
      </x:c>
      <x:c r="AQ94" s="54">
        <x:f t="shared" si="78"/>
        <x:v>-2.8249410224312761E-3</x:v>
      </x:c>
      <x:c r="AR94" s="55">
        <x:f t="shared" si="79"/>
        <x:v>3.6315176021980296E-3</x:v>
      </x:c>
    </x:row>
    <x:row r="95">
      <x:c r="B95" s="47">
        <x:v>44681</x:v>
      </x:c>
      <x:c r="C95" s="50">
        <x:v>261234213770.81079</x:v>
      </x:c>
      <x:c r="D95" s="54">
        <x:f t="shared" si="57"/>
        <x:v>26.288683212642059</x:v>
      </x:c>
      <x:c r="E95" s="54">
        <x:f t="shared" si="64"/>
        <x:v>-5.6187153882682139E-2</x:v>
      </x:c>
      <x:c r="F95" s="54">
        <x:f t="shared" si="72"/>
        <x:v>-4.2097375412221805E-2</x:v>
      </x:c>
      <x:c r="G95" s="54">
        <x:f t="shared" si="73"/>
        <x:v>-6.8998153882682142E-2</x:v>
      </x:c>
      <x:c r="H95" s="55"/>
      <x:c r="J95" s="47">
        <x:v>44681</x:v>
      </x:c>
      <x:c r="K95" s="50">
        <x:v>80072534.5</x:v>
      </x:c>
      <x:c r="L95" s="54">
        <x:f t="shared" si="58"/>
        <x:v>-2.5248223738454167</x:v>
      </x:c>
      <x:c r="M95" s="54">
        <x:f t="shared" si="65"/>
        <x:v>-0.28404938556611903</x:v>
      </x:c>
      <x:c r="N95" s="54">
        <x:f t="shared" si="81"/>
        <x:v>-0.60535302838027072</x:v>
      </x:c>
      <x:c r="O95" s="54">
        <x:f t="shared" si="82"/>
        <x:v>-0.28404938556611903</x:v>
      </x:c>
      <x:c r="P95" s="55">
        <x:f t="shared" si="83"/>
        <x:v>0</x:v>
      </x:c>
      <x:c r="R95" s="47">
        <x:v>44681</x:v>
      </x:c>
      <x:c r="S95" s="50">
        <x:v>134661264.25</x:v>
      </x:c>
      <x:c r="T95" s="54">
        <x:f t="shared" si="59"/>
        <x:v>-2.0049928074492489</x:v>
      </x:c>
      <x:c r="U95" s="54">
        <x:f t="shared" si="66"/>
        <x:v>0.11968805202345623</x:v>
      </x:c>
      <x:c r="V95" s="54">
        <x:f t="shared" si="74"/>
        <x:v>-0.6003193444650482</x:v>
      </x:c>
      <x:c r="W95" s="54">
        <x:f t="shared" si="67"/>
        <x:v>0.10751540202345622</x:v>
      </x:c>
      <x:c r="X95" s="55">
        <x:f t="shared" si="75"/>
        <x:v>0</x:v>
      </x:c>
      <x:c r="Y95" s="47">
        <x:v>44681</x:v>
      </x:c>
      <x:c r="Z95" s="50">
        <x:v>130341350343.722</x:v>
      </x:c>
      <x:c r="AA95" s="54">
        <x:f t="shared" si="60"/>
        <x:v>25.593422617960567</x:v>
      </x:c>
      <x:c r="AB95" s="54">
        <x:f t="shared" si="68"/>
        <x:v>7.1282756835344685E-3</x:v>
      </x:c>
      <x:c r="AC95" s="54">
        <x:f t="shared" si="76"/>
        <x:v>1.7389132847712454E-2</x:v>
      </x:c>
      <x:c r="AD95" s="54">
        <x:f t="shared" si="77"/>
        <x:v>-2.4217039733465527E-2</x:v>
      </x:c>
      <x:c r="AE95" s="55"/>
      <x:c r="AF95" s="47">
        <x:v>44681</x:v>
      </x:c>
      <x:c r="AG95" s="50">
        <x:v>29386290989.582199</x:v>
      </x:c>
      <x:c r="AH95" s="54">
        <x:f t="shared" si="61"/>
        <x:v>24.103794109671366</x:v>
      </x:c>
      <x:c r="AI95" s="54">
        <x:f t="shared" si="69"/>
        <x:v>1.9885999640457896E-2</x:v>
      </x:c>
      <x:c r="AJ95" s="54">
        <x:f t="shared" si="80"/>
        <x:v>-1.3872457830908071E-2</x:v>
      </x:c>
      <x:c r="AK95" s="54">
        <x:f t="shared" si="70"/>
        <x:v>1.6811999640457931E-2</x:v>
      </x:c>
      <x:c r="AL95" s="55">
        <x:f t="shared" si="62"/>
        <x:v>-4.6381727275033202E-2</x:v>
      </x:c>
      <x:c r="AM95" s="47">
        <x:v>44681</x:v>
      </x:c>
      <x:c r="AN95" s="50">
        <x:v>329765065891.56299</x:v>
      </x:c>
      <x:c r="AO95" s="54">
        <x:f t="shared" si="63"/>
        <x:v>26.52164631632974</x:v>
      </x:c>
      <x:c r="AP95" s="54">
        <x:f t="shared" si="71"/>
        <x:v>1.9663079897153324E-2</x:v>
      </x:c>
      <x:c r="AQ95" s="54">
        <x:f t="shared" si="78"/>
        <x:v>1.2244136958973736E-2</x:v>
      </x:c>
      <x:c r="AR95" s="55">
        <x:f t="shared" si="79"/>
        <x:v>1.9243995404153325E-2</x:v>
      </x:c>
    </x:row>
    <x:row r="96">
      <x:c r="B96" s="47">
        <x:v>44712</x:v>
      </x:c>
      <x:c r="C96" s="50">
        <x:v>247691742303.2027</x:v>
      </x:c>
      <x:c r="D96" s="54">
        <x:f t="shared" si="57"/>
        <x:v>26.235450835393902</x:v>
      </x:c>
      <x:c r="E96" s="54">
        <x:f t="shared" si="64"/>
        <x:v>-5.3232377248157547E-2</x:v>
      </x:c>
      <x:c r="F96" s="54">
        <x:f t="shared" si="72"/>
        <x:v>-6.2363068191165411E-2</x:v>
      </x:c>
      <x:c r="G96" s="54">
        <x:f t="shared" si="73"/>
        <x:v>-6.604337724815755E-2</x:v>
      </x:c>
      <x:c r="H96" s="55"/>
      <x:c r="J96" s="47">
        <x:v>44712</x:v>
      </x:c>
      <x:c r="K96" s="50">
        <x:v>195973287.5</x:v>
      </x:c>
      <x:c r="L96" s="54">
        <x:f t="shared" si="58"/>
        <x:v>-1.6297769173050154</x:v>
      </x:c>
      <x:c r="M96" s="54">
        <x:f t="shared" si="65"/>
        <x:v>0.89504545654040135</x:v>
      </x:c>
      <x:c r="N96" s="54">
        <x:f t="shared" si="81"/>
        <x:v>0.49542656767499693</x:v>
      </x:c>
      <x:c r="O96" s="54">
        <x:f t="shared" si="82"/>
        <x:v>0.89504545654040124</x:v>
      </x:c>
      <x:c r="P96" s="55">
        <x:f t="shared" si="83"/>
        <x:v>0</x:v>
      </x:c>
      <x:c r="R96" s="47">
        <x:v>44712</x:v>
      </x:c>
      <x:c r="S96" s="50">
        <x:v>139224531.75</x:v>
      </x:c>
      <x:c r="T96" s="54">
        <x:f t="shared" si="59"/>
        <x:v>-1.9716673127729691</x:v>
      </x:c>
      <x:c r="U96" s="54">
        <x:f t="shared" si="66"/>
        <x:v>3.3325494676279765E-2</x:v>
      </x:c>
      <x:c r="V96" s="54">
        <x:f t="shared" si="74"/>
        <x:v>-0.61178490507464289</x:v>
      </x:c>
      <x:c r="W96" s="54">
        <x:f t="shared" si="67"/>
        <x:v>2.1152844676279765E-2</x:v>
      </x:c>
      <x:c r="X96" s="55">
        <x:f t="shared" si="75"/>
        <x:v>0</x:v>
      </x:c>
      <x:c r="Y96" s="47">
        <x:v>44712</x:v>
      </x:c>
      <x:c r="Z96" s="50">
        <x:v>132797852242.153</x:v>
      </x:c>
      <x:c r="AA96" s="54">
        <x:f t="shared" si="60"/>
        <x:v>25.612093900982607</x:v>
      </x:c>
      <x:c r="AB96" s="54">
        <x:f t="shared" si="68"/>
        <x:v>1.8671283022040797E-2</x:v>
      </x:c>
      <x:c r="AC96" s="54">
        <x:f t="shared" si="76"/>
        <x:v>4.4178165404742866E-4</x:v>
      </x:c>
      <x:c r="AD96" s="54">
        <x:f t="shared" si="77"/>
        <x:v>-1.2674032394959199E-2</x:v>
      </x:c>
      <x:c r="AE96" s="55"/>
      <x:c r="AF96" s="47">
        <x:v>44712</x:v>
      </x:c>
      <x:c r="AG96" s="50">
        <x:v>29820470693.448601</x:v>
      </x:c>
      <x:c r="AH96" s="54">
        <x:f t="shared" si="61"/>
        <x:v>24.118460930646982</x:v>
      </x:c>
      <x:c r="AI96" s="54">
        <x:f t="shared" si="69"/>
        <x:v>1.4666820975616446E-2</x:v>
      </x:c>
      <x:c r="AJ96" s="54">
        <x:f t="shared" si="80"/>
        <x:v>-2.1664268329020381E-2</x:v>
      </x:c>
      <x:c r="AK96" s="54">
        <x:f t="shared" si="70"/>
        <x:v>1.1592820975616425E-2</x:v>
      </x:c>
      <x:c r="AL96" s="55">
        <x:f t="shared" si="62"/>
        <x:v>-3.4788906299416777E-2</x:v>
      </x:c>
      <x:c r="AM96" s="47">
        <x:v>44712</x:v>
      </x:c>
      <x:c r="AN96" s="50">
        <x:v>333035968232.35797</x:v>
      </x:c>
      <x:c r="AO96" s="54">
        <x:f t="shared" si="63"/>
        <x:v>26.531516333803687</x:v>
      </x:c>
      <x:c r="AP96" s="54">
        <x:f t="shared" si="71"/>
        <x:v>9.8700174739470015E-3</x:v>
      </x:c>
      <x:c r="AQ96" s="54">
        <x:f t="shared" si="78"/>
        <x:v>4.6208389241102965E-3</x:v>
      </x:c>
      <x:c r="AR96" s="55">
        <x:f t="shared" si="79"/>
        <x:v>9.4509329809470011E-3</x:v>
      </x:c>
    </x:row>
    <x:row r="97">
      <x:c r="B97" s="47">
        <x:v>44742</x:v>
      </x:c>
      <x:c r="C97" s="50">
        <x:v>249328864703.82751</x:v>
      </x:c>
      <x:c r="D97" s="54">
        <x:f t="shared" si="57"/>
        <x:v>26.242038603781321</x:v>
      </x:c>
      <x:c r="E97" s="54">
        <x:f t="shared" si="64"/>
        <x:v>6.5877683874191462E-3</x:v>
      </x:c>
      <x:c r="F97" s="54">
        <x:f t="shared" si="72"/>
        <x:v>-3.8569761183445947E-2</x:v>
      </x:c>
      <x:c r="G97" s="54">
        <x:f t="shared" si="73"/>
        <x:v>-6.2232316125808533E-3</x:v>
      </x:c>
      <x:c r="H97" s="55"/>
      <x:c r="J97" s="47">
        <x:v>44742</x:v>
      </x:c>
      <x:c r="K97" s="50">
        <x:v>96062249.5</x:v>
      </x:c>
      <x:c r="L97" s="54">
        <x:f t="shared" si="58"/>
        <x:v>-2.3427588653640159</x:v>
      </x:c>
      <x:c r="M97" s="54">
        <x:f t="shared" si="65"/>
        <x:v>-0.7129819480590005</x:v>
      </x:c>
      <x:c r="N97" s="54">
        <x:f t="shared" si="81"/>
        <x:v>-0.70288844739948808</x:v>
      </x:c>
      <x:c r="O97" s="54">
        <x:f t="shared" si="82"/>
        <x:v>-0.71298194805900073</x:v>
      </x:c>
      <x:c r="P97" s="55">
        <x:f t="shared" si="83"/>
        <x:v>0</x:v>
      </x:c>
      <x:c r="R97" s="47">
        <x:v>44742</x:v>
      </x:c>
      <x:c r="S97" s="50">
        <x:v>119358252.75</x:v>
      </x:c>
      <x:c r="T97" s="54">
        <x:f t="shared" si="59"/>
        <x:v>-2.1256257811224359</x:v>
      </x:c>
      <x:c r="U97" s="54">
        <x:f t="shared" si="66"/>
        <x:v>-0.1539584683494668</x:v>
      </x:c>
      <x:c r="V97" s="54">
        <x:f t="shared" si="74"/>
        <x:v>-0.78699817049999421</x:v>
      </x:c>
      <x:c r="W97" s="54">
        <x:f t="shared" si="67"/>
        <x:v>-0.16613111834946681</x:v>
      </x:c>
      <x:c r="X97" s="55">
        <x:f t="shared" si="75"/>
        <x:v>0</x:v>
      </x:c>
      <x:c r="Y97" s="47">
        <x:v>44742</x:v>
      </x:c>
      <x:c r="Z97" s="50">
        <x:v>136770295517.94901</x:v>
      </x:c>
      <x:c r="AA97" s="54">
        <x:f t="shared" si="60"/>
        <x:v>25.641568680530298</x:v>
      </x:c>
      <x:c r="AB97" s="54">
        <x:f t="shared" si="68"/>
        <x:v>2.9474779547690844E-2</x:v>
      </x:c>
      <x:c r="AC97" s="54">
        <x:f t="shared" si="76"/>
        <x:v>2.1006474298553415E-2</x:v>
      </x:c>
      <x:c r="AD97" s="54">
        <x:f t="shared" si="77"/>
        <x:v>-1.8705358693091555E-3</x:v>
      </x:c>
      <x:c r="AE97" s="55"/>
      <x:c r="AF97" s="47">
        <x:v>44742</x:v>
      </x:c>
      <x:c r="AG97" s="50">
        <x:v>30572369692.696201</x:v>
      </x:c>
      <x:c r="AH97" s="54">
        <x:f t="shared" si="61"/>
        <x:v>24.143362486779651</x:v>
      </x:c>
      <x:c r="AI97" s="54">
        <x:f t="shared" si="69"/>
        <x:v>2.4901556132668645E-2</x:v>
      </x:c>
      <x:c r="AJ97" s="54">
        <x:f t="shared" si="80"/>
        <x:v>-1.3553241925219599E-3</x:v>
      </x:c>
      <x:c r="AK97" s="54">
        <x:f t="shared" si="70"/>
        <x:v>2.1827556132668624E-2</x:v>
      </x:c>
      <x:c r="AL97" s="55">
        <x:f t="shared" si="62"/>
        <x:v>-1.2961350166748153E-2</x:v>
      </x:c>
      <x:c r="AM97" s="47">
        <x:v>44742</x:v>
      </x:c>
      <x:c r="AN97" s="50">
        <x:v>336638072709.60999</x:v>
      </x:c>
      <x:c r="AO97" s="54">
        <x:f t="shared" si="63"/>
        <x:v>26.54227422196092</x:v>
      </x:c>
      <x:c r="AP97" s="54">
        <x:f t="shared" si="71"/>
        <x:v>1.0757888157232998E-2</x:v>
      </x:c>
      <x:c r="AQ97" s="54">
        <x:f t="shared" si="78"/>
        <x:v>7.9339370058329924E-3</x:v>
      </x:c>
      <x:c r="AR97" s="55">
        <x:f t="shared" si="79"/>
        <x:v>1.0338803664232996E-2</x:v>
      </x:c>
    </x:row>
    <x:row r="98">
      <x:c r="B98" s="47">
        <x:v>44773</x:v>
      </x:c>
      <x:c r="C98" s="50">
        <x:v>239725453997.90079</x:v>
      </x:c>
      <x:c r="D98" s="54">
        <x:f t="shared" si="57"/>
        <x:v>26.202760163812293</x:v>
      </x:c>
      <x:c r="E98" s="54">
        <x:f t="shared" si="64"/>
        <x:v>-3.9278439969027801E-2</x:v>
      </x:c>
      <x:c r="F98" s="54">
        <x:f t="shared" si="72"/>
        <x:v>-7.9596627683399368E-2</x:v>
      </x:c>
      <x:c r="G98" s="54">
        <x:f t="shared" si="73"/>
        <x:v>-5.2089439969027811E-2</x:v>
      </x:c>
      <x:c r="H98" s="55"/>
      <x:c r="J98" s="47">
        <x:v>44773</x:v>
      </x:c>
      <x:c r="K98" s="50">
        <x:v>83391492.5</x:v>
      </x:c>
      <x:c r="L98" s="54">
        <x:f t="shared" si="58"/>
        <x:v>-2.4842089832139314</x:v>
      </x:c>
      <x:c r="M98" s="54">
        <x:f t="shared" si="65"/>
        <x:v>-0.14145011784991546</x:v>
      </x:c>
      <x:c r="N98" s="54">
        <x:f t="shared" si="81"/>
        <x:v>-0.44302781601822794</x:v>
      </x:c>
      <x:c r="O98" s="54">
        <x:f t="shared" si="82"/>
        <x:v>-0.14145011784991546</x:v>
      </x:c>
      <x:c r="P98" s="55">
        <x:f t="shared" si="83"/>
        <x:v>0</x:v>
      </x:c>
      <x:c r="R98" s="47">
        <x:v>44773</x:v>
      </x:c>
      <x:c r="S98" s="50">
        <x:v>118543767.75</x:v>
      </x:c>
      <x:c r="T98" s="54">
        <x:f t="shared" si="59"/>
        <x:v>-2.1324730384979049</x:v>
      </x:c>
      <x:c r="U98" s="54">
        <x:f t="shared" si="66"/>
        <x:v>-6.8472573754689847E-3</x:v>
      </x:c>
      <x:c r="V98" s="54">
        <x:f t="shared" si="74"/>
        <x:v>-0.76406000743388558</x:v>
      </x:c>
      <x:c r="W98" s="54">
        <x:f t="shared" si="67"/>
        <x:v>-1.9019907375468985E-2</x:v>
      </x:c>
      <x:c r="X98" s="55">
        <x:f t="shared" si="75"/>
        <x:v>0</x:v>
      </x:c>
      <x:c r="Y98" s="47">
        <x:v>44773</x:v>
      </x:c>
      <x:c r="Z98" s="50">
        <x:v>143733907068.194</x:v>
      </x:c>
      <x:c r="AA98" s="54">
        <x:f t="shared" si="60"/>
        <x:v>25.691229559526953</x:v>
      </x:c>
      <x:c r="AB98" s="54">
        <x:f t="shared" si="68"/>
        <x:v>4.966087899665439E-2</x:v>
      </x:c>
      <x:c r="AC98" s="54">
        <x:f t="shared" si="76"/>
        <x:v>6.0351293016650237E-2</x:v>
      </x:c>
      <x:c r="AD98" s="54">
        <x:f t="shared" si="77"/>
        <x:v>1.8315563579654387E-2</x:v>
      </x:c>
      <x:c r="AE98" s="55"/>
      <x:c r="AF98" s="47">
        <x:v>44773</x:v>
      </x:c>
      <x:c r="AG98" s="50">
        <x:v>31956711655.5014</x:v>
      </x:c>
      <x:c r="AH98" s="54">
        <x:f t="shared" si="61"/>
        <x:v>24.187648063173707</x:v>
      </x:c>
      <x:c r="AI98" s="54">
        <x:f t="shared" si="69"/>
        <x:v>4.4285576394056392E-2</x:v>
      </x:c>
      <x:c r="AJ98" s="54">
        <x:f t="shared" si="80"/>
        <x:v>3.3753181526273997E-2</x:v>
      </x:c>
      <x:c r="AK98" s="54">
        <x:f t="shared" si="70"/>
        <x:v>4.1211576394056426E-2</x:v>
      </x:c>
      <x:c r="AL98" s="55">
        <x:f t="shared" si="62"/>
        <x:v>2.8250226227308273E-2</x:v>
      </x:c>
      <x:c r="AM98" s="47">
        <x:v>44773</x:v>
      </x:c>
      <x:c r="AN98" s="50">
        <x:v>341972572092.146</x:v>
      </x:c>
      <x:c r="AO98" s="54">
        <x:f t="shared" si="63"/>
        <x:v>26.557996372231962</x:v>
      </x:c>
      <x:c r="AP98" s="54">
        <x:f t="shared" si="71"/>
        <x:v>1.5722150271042068E-2</x:v>
      </x:c>
      <x:c r="AQ98" s="54">
        <x:f t="shared" si="78"/>
        <x:v>3.300850699660397E-3</x:v>
      </x:c>
      <x:c r="AR98" s="55">
        <x:f t="shared" si="79"/>
        <x:v>1.5303065778042069E-2</x:v>
      </x:c>
    </x:row>
    <x:row r="99">
      <x:c r="B99" s="47">
        <x:v>44804</x:v>
      </x:c>
      <x:c r="C99" s="50">
        <x:v>251432216277.8732</x:v>
      </x:c>
      <x:c r="D99" s="54">
        <x:f t="shared" si="57"/>
        <x:v>26.250439272377943</x:v>
      </x:c>
      <x:c r="E99" s="54">
        <x:f t="shared" si="64"/>
        <x:v>4.7679108565649386E-2</x:v>
      </x:c>
      <x:c r="F99" s="54">
        <x:f t="shared" si="72"/>
        <x:v>-3.2863056514478815E-3</x:v>
      </x:c>
      <x:c r="G99" s="54">
        <x:f t="shared" si="73"/>
        <x:v>3.4868108565649383E-2</x:v>
      </x:c>
      <x:c r="H99" s="55"/>
      <x:c r="J99" s="47">
        <x:v>44804</x:v>
      </x:c>
      <x:c r="K99" s="50">
        <x:v>758951720.5</x:v>
      </x:c>
      <x:c r="L99" s="54">
        <x:f t="shared" si="58"/>
        <x:v>-0.27581711296408157</x:v>
      </x:c>
      <x:c r="M99" s="54">
        <x:f t="shared" si="65"/>
        <x:v>2.2083918702498497</x:v>
      </x:c>
      <x:c r="N99" s="54">
        <x:f t="shared" si="81"/>
        <x:v>1.3471547922168465</x:v>
      </x:c>
      <x:c r="O99" s="54">
        <x:f t="shared" si="82"/>
        <x:v>2.2083918702498497</x:v>
      </x:c>
      <x:c r="P99" s="55">
        <x:f t="shared" si="83"/>
        <x:v>0</x:v>
      </x:c>
      <x:c r="R99" s="47">
        <x:v>44804</x:v>
      </x:c>
      <x:c r="S99" s="50">
        <x:v>144492805.75</x:v>
      </x:c>
      <x:c r="T99" s="54">
        <x:f t="shared" si="59"/>
        <x:v>-1.9345255598663056</x:v>
      </x:c>
      <x:c r="U99" s="54">
        <x:f t="shared" si="66"/>
        <x:v>0.19794747863159934</x:v>
      </x:c>
      <x:c r="V99" s="54">
        <x:f t="shared" si="74"/>
        <x:v>-0.57641910602063573</x:v>
      </x:c>
      <x:c r="W99" s="54">
        <x:f t="shared" si="67"/>
        <x:v>0.18577482863159933</x:v>
      </x:c>
      <x:c r="X99" s="55">
        <x:f t="shared" si="75"/>
        <x:v>0</x:v>
      </x:c>
      <x:c r="Y99" s="47">
        <x:v>44804</x:v>
      </x:c>
      <x:c r="Z99" s="50">
        <x:v>144317523884.073</x:v>
      </x:c>
      <x:c r="AA99" s="54">
        <x:f t="shared" si="60"/>
        <x:v>25.695281735990985</x:v>
      </x:c>
      <x:c r="AB99" s="54">
        <x:f t="shared" si="68"/>
        <x:v>4.052176464032442E-3</x:v>
      </x:c>
      <x:c r="AC99" s="54">
        <x:f t="shared" si="76"/>
        <x:v>1.0955880257415642E-2</x:v>
      </x:c>
      <x:c r="AD99" s="54">
        <x:f t="shared" si="77"/>
        <x:v>-2.729313895296755E-2</x:v>
      </x:c>
      <x:c r="AE99" s="55"/>
      <x:c r="AF99" s="47">
        <x:v>44804</x:v>
      </x:c>
      <x:c r="AG99" s="50">
        <x:v>27168644291.672401</x:v>
      </x:c>
      <x:c r="AH99" s="54">
        <x:f t="shared" si="61"/>
        <x:v>24.025329361888097</x:v>
      </x:c>
      <x:c r="AI99" s="54">
        <x:f t="shared" si="69"/>
        <x:v>-0.16231870128560999</x:v>
      </x:c>
      <x:c r="AJ99" s="54">
        <x:f t="shared" si="80"/>
        <x:v>-6.5941264886730327E-2</x:v>
      </x:c>
      <x:c r="AK99" s="54">
        <x:f t="shared" si="70"/>
        <x:v>-0.16539270128561001</x:v>
      </x:c>
      <x:c r="AL99" s="55">
        <x:f t="shared" si="62"/>
        <x:v>-0.13714247505830174</x:v>
      </x:c>
      <x:c r="AM99" s="47">
        <x:v>44804</x:v>
      </x:c>
      <x:c r="AN99" s="50">
        <x:v>344017544702.33698</x:v>
      </x:c>
      <x:c r="AO99" s="54">
        <x:f t="shared" si="63"/>
        <x:v>26.563958495060927</x:v>
      </x:c>
      <x:c r="AP99" s="54">
        <x:f t="shared" si="71"/>
        <x:v>5.9621228289650219E-3</x:v>
      </x:c>
      <x:c r="AQ99" s="54">
        <x:f t="shared" si="78"/>
        <x:v>8.6758912942590267E-3</x:v>
      </x:c>
      <x:c r="AR99" s="55">
        <x:f t="shared" si="79"/>
        <x:v>5.5430383359650224E-3</x:v>
      </x:c>
    </x:row>
    <x:row r="100">
      <x:c r="B100" s="47">
        <x:v>44834</x:v>
      </x:c>
      <x:c r="C100" s="50">
        <x:v>242399051095.61658</x:v>
      </x:c>
      <x:c r="D100" s="54">
        <x:f t="shared" si="57"/>
        <x:v>26.213851176511863</x:v>
      </x:c>
      <x:c r="E100" s="54">
        <x:f t="shared" si="64"/>
        <x:v>-3.6588095866079584E-2</x:v>
      </x:c>
      <x:c r="F100" s="54">
        <x:f t="shared" si="72"/>
        <x:v>-6.7082789952882138E-2</x:v>
      </x:c>
      <x:c r="G100" s="54">
        <x:f t="shared" si="73"/>
        <x:v>-4.939909586607958E-2</x:v>
      </x:c>
      <x:c r="H100" s="55"/>
      <x:c r="J100" s="47">
        <x:v>44834</x:v>
      </x:c>
      <x:c r="K100" s="50">
        <x:v>1269417262.5</x:v>
      </x:c>
      <x:c r="L100" s="54">
        <x:f t="shared" si="58"/>
        <x:v>0.23855794674215103</x:v>
      </x:c>
      <x:c r="M100" s="54">
        <x:f t="shared" si="65"/>
        <x:v>0.51437505970623265</x:v>
      </x:c>
      <x:c r="N100" s="54">
        <x:f t="shared" si="81"/>
        <x:v>0.53962439701152243</x:v>
      </x:c>
      <x:c r="O100" s="54">
        <x:f t="shared" si="82"/>
        <x:v>0.51437505970623265</x:v>
      </x:c>
      <x:c r="P100" s="55">
        <x:f t="shared" si="83"/>
        <x:v>0</x:v>
      </x:c>
      <x:c r="R100" s="47">
        <x:v>44834</x:v>
      </x:c>
      <x:c r="S100" s="50">
        <x:v>109686959.75</x:v>
      </x:c>
      <x:c r="T100" s="54">
        <x:f t="shared" si="59"/>
        <x:v>-2.2101247906902071</x:v>
      </x:c>
      <x:c r="U100" s="54">
        <x:f t="shared" si="66"/>
        <x:v>-0.27559923082390148</x:v>
      </x:c>
      <x:c r="V100" s="54">
        <x:f t="shared" si="74"/>
        <x:v>-0.91813731627478901</x:v>
      </x:c>
      <x:c r="W100" s="54">
        <x:f t="shared" si="67"/>
        <x:v>-0.28777188082390148</x:v>
      </x:c>
      <x:c r="X100" s="55">
        <x:f t="shared" si="75"/>
        <x:v>0</x:v>
      </x:c>
      <x:c r="Y100" s="47">
        <x:v>44834</x:v>
      </x:c>
      <x:c r="Z100" s="50">
        <x:v>145974372059.79099</x:v>
      </x:c>
      <x:c r="AA100" s="54">
        <x:f t="shared" si="60"/>
        <x:v>25.706696909409832</x:v>
      </x:c>
      <x:c r="AB100" s="54">
        <x:f t="shared" si="68"/>
        <x:v>1.1415173418846791E-2</x:v>
      </x:c>
      <x:c r="AC100" s="54">
        <x:f t="shared" si="76"/>
        <x:v>3.2348273592497055E-3</x:v>
      </x:c>
      <x:c r="AD100" s="54">
        <x:f t="shared" si="77"/>
        <x:v>-1.9930141998153197E-2</x:v>
      </x:c>
      <x:c r="AE100" s="55"/>
      <x:c r="AF100" s="47">
        <x:v>44834</x:v>
      </x:c>
      <x:c r="AG100" s="50">
        <x:v>29051054068.940601</x:v>
      </x:c>
      <x:c r="AH100" s="54">
        <x:f t="shared" si="61"/>
        <x:v>24.092320604231176</x:v>
      </x:c>
      <x:c r="AI100" s="54">
        <x:f t="shared" si="69"/>
        <x:v>6.6991242343078738E-2</x:v>
      </x:c>
      <x:c r="AJ100" s="54">
        <x:f t="shared" si="80"/>
        <x:v>4.4058895944171783E-2</x:v>
      </x:c>
      <x:c r="AK100" s="54">
        <x:f t="shared" si="70"/>
        <x:v>6.3917242343078773E-2</x:v>
      </x:c>
      <x:c r="AL100" s="55">
        <x:f t="shared" si="62"/>
        <x:v>-7.3225232715222965E-2</x:v>
      </x:c>
      <x:c r="AM100" s="47">
        <x:v>44834</x:v>
      </x:c>
      <x:c r="AN100" s="50">
        <x:v>348651332710.33801</x:v>
      </x:c>
      <x:c r="AO100" s="54">
        <x:f t="shared" si="63"/>
        <x:v>26.577338213093828</x:v>
      </x:c>
      <x:c r="AP100" s="54">
        <x:f t="shared" si="71"/>
        <x:v>1.3379718032901167E-2</x:v>
      </x:c>
      <x:c r="AQ100" s="54">
        <x:f t="shared" si="78"/>
        <x:v>6.9356055166235487E-3</x:v>
      </x:c>
      <x:c r="AR100" s="55">
        <x:f t="shared" si="79"/>
        <x:v>1.2960633539901165E-2</x:v>
      </x:c>
    </x:row>
    <x:row r="101">
      <x:c r="B101" s="47">
        <x:v>44865</x:v>
      </x:c>
      <x:c r="C101" s="50">
        <x:v>240547390876.94891</x:v>
      </x:c>
      <x:c r="D101" s="54">
        <x:f t="shared" si="57"/>
        <x:v>26.206182958543543</x:v>
      </x:c>
      <x:c r="E101" s="54">
        <x:f t="shared" si="64"/>
        <x:v>-7.6682179683196239E-3</x:v>
      </x:c>
      <x:c r="F101" s="54">
        <x:f t="shared" si="72"/>
        <x:v>-4.6601090745602265E-2</x:v>
      </x:c>
      <x:c r="G101" s="54">
        <x:f t="shared" si="73"/>
        <x:v>-2.047921796831963E-2</x:v>
      </x:c>
      <x:c r="H101" s="55"/>
      <x:c r="J101" s="47">
        <x:v>44865</x:v>
      </x:c>
      <x:c r="K101" s="50">
        <x:v>1077902355.5</x:v>
      </x:c>
      <x:c r="L101" s="54">
        <x:f t="shared" si="58"/>
        <x:v>7.5016889070708068E-2</x:v>
      </x:c>
      <x:c r="M101" s="54">
        <x:f t="shared" si="65"/>
        <x:v>-0.16354105767144295</x:v>
      </x:c>
      <x:c r="N101" s="54">
        <x:f t="shared" si="81"/>
        <x:v>0.20473470216582423</x:v>
      </x:c>
      <x:c r="O101" s="54">
        <x:f t="shared" si="82"/>
        <x:v>-0.16354105767144295</x:v>
      </x:c>
      <x:c r="P101" s="55">
        <x:f t="shared" si="83"/>
        <x:v>0</x:v>
      </x:c>
      <x:c r="R101" s="47">
        <x:v>44865</x:v>
      </x:c>
      <x:c r="S101" s="50">
        <x:v>174778677</x:v>
      </x:c>
      <x:c r="T101" s="54">
        <x:f t="shared" si="59"/>
        <x:v>-1.7442348083273507</x:v>
      </x:c>
      <x:c r="U101" s="54">
        <x:f t="shared" si="66"/>
        <x:v>0.46588998236285639</x:v>
      </x:c>
      <x:c r="V101" s="54">
        <x:f t="shared" si="74"/>
        <x:v>-0.389311338934341</x:v>
      </x:c>
      <x:c r="W101" s="54">
        <x:f t="shared" si="67"/>
        <x:v>0.45371733236285638</x:v>
      </x:c>
      <x:c r="X101" s="55">
        <x:f t="shared" si="75"/>
        <x:v>0</x:v>
      </x:c>
      <x:c r="Y101" s="47">
        <x:v>44865</x:v>
      </x:c>
      <x:c r="Z101" s="50">
        <x:v>147882917606</x:v>
      </x:c>
      <x:c r="AA101" s="54">
        <x:f t="shared" si="60"/>
        <x:v>25.719686700371206</x:v>
      </x:c>
      <x:c r="AB101" s="54">
        <x:f t="shared" si="68"/>
        <x:v>1.298979096137387E-2</x:v>
      </x:c>
      <x:c r="AC101" s="54">
        <x:f t="shared" si="76"/>
        <x:v>2.1767655653835708E-2</x:v>
      </x:c>
      <x:c r="AD101" s="54">
        <x:f t="shared" si="77"/>
        <x:v>-1.8355524455626125E-2</x:v>
      </x:c>
      <x:c r="AE101" s="55"/>
      <x:c r="AF101" s="47">
        <x:v>44865</x:v>
      </x:c>
      <x:c r="AG101" s="50">
        <x:v>30769084275.874001</x:v>
      </x:c>
      <x:c r="AH101" s="54">
        <x:f t="shared" si="61"/>
        <x:v>24.149776265547427</x:v>
      </x:c>
      <x:c r="AI101" s="54">
        <x:f t="shared" si="69"/>
        <x:v>5.7455661316250684E-2</x:v>
      </x:c>
      <x:c r="AJ101" s="54">
        <x:f t="shared" si="80"/>
        <x:v>2.5584183225129085E-2</x:v>
      </x:c>
      <x:c r="AK101" s="54">
        <x:f t="shared" si="70"/>
        <x:v>5.4381661316250662E-2</x:v>
      </x:c>
      <x:c r="AL101" s="55">
        <x:f t="shared" si="62"/>
        <x:v>-1.8843571398972303E-2</x:v>
      </x:c>
      <x:c r="AM101" s="47">
        <x:v>44865</x:v>
      </x:c>
      <x:c r="AN101" s="50">
        <x:v>347205646832.96851</x:v>
      </x:c>
      <x:c r="AO101" s="54">
        <x:f t="shared" si="63"/>
        <x:v>26.573183083520192</x:v>
      </x:c>
      <x:c r="AP101" s="54">
        <x:f t="shared" si="71"/>
        <x:v>-4.1551295736361737E-3</x:v>
      </x:c>
      <x:c r="AQ101" s="54">
        <x:f t="shared" si="78"/>
        <x:v>-1.0107742512590775E-2</x:v>
      </x:c>
      <x:c r="AR101" s="55">
        <x:f t="shared" si="79"/>
        <x:v>-4.5742140666361723E-3</x:v>
      </x:c>
    </x:row>
    <x:row r="102">
      <x:c r="B102" s="47">
        <x:v>44895</x:v>
      </x:c>
      <x:c r="C102" s="50">
        <x:v>234422336102.76801</x:v>
      </x:c>
      <x:c r="D102" s="54">
        <x:f t="shared" si="57"/>
        <x:v>26.180390180650232</x:v>
      </x:c>
      <x:c r="E102" s="54">
        <x:f t="shared" si="64"/>
        <x:v>-2.579277789331158E-2</x:v>
      </x:c>
      <x:c r="F102" s="54">
        <x:f t="shared" si="72"/>
        <x:v>-7.0131751897194186E-2</x:v>
      </x:c>
      <x:c r="G102" s="54">
        <x:f t="shared" si="73"/>
        <x:v>-3.8603777893311583E-2</x:v>
      </x:c>
      <x:c r="H102" s="55"/>
      <x:c r="J102" s="47">
        <x:v>44895</x:v>
      </x:c>
      <x:c r="K102" s="50">
        <x:v>1114828125</x:v>
      </x:c>
      <x:c r="L102" s="54">
        <x:f t="shared" si="58"/>
        <x:v>0.10870024504799809</x:v>
      </x:c>
      <x:c r="M102" s="54">
        <x:f t="shared" si="65"/>
        <x:v>3.3683355977290025E-2</x:v>
      </x:c>
      <x:c r="N102" s="54">
        <x:f t="shared" si="81"/>
        <x:v>0.35633746873331251</x:v>
      </x:c>
      <x:c r="O102" s="54">
        <x:f t="shared" si="82"/>
        <x:v>3.3683355977289997E-2</x:v>
      </x:c>
      <x:c r="P102" s="55">
        <x:f t="shared" si="83"/>
        <x:v>0</x:v>
      </x:c>
      <x:c r="R102" s="47">
        <x:v>44895</x:v>
      </x:c>
      <x:c r="S102" s="50">
        <x:v>96553664.75</x:v>
      </x:c>
      <x:c r="T102" s="54">
        <x:f t="shared" si="59"/>
        <x:v>-2.3376563138108732</x:v>
      </x:c>
      <x:c r="U102" s="54">
        <x:f t="shared" si="66"/>
        <x:v>-0.59342150548352257</x:v>
      </x:c>
      <x:c r="V102" s="54">
        <x:f t="shared" si="74"/>
        <x:v>-1.1218737924762392</x:v>
      </x:c>
      <x:c r="W102" s="54">
        <x:f t="shared" si="67"/>
        <x:v>-0.60559415548352258</x:v>
      </x:c>
      <x:c r="X102" s="55">
        <x:f t="shared" si="75"/>
        <x:v>0</x:v>
      </x:c>
      <x:c r="Y102" s="47">
        <x:v>44895</x:v>
      </x:c>
      <x:c r="Z102" s="50">
        <x:v>150495476585.92798</x:v>
      </x:c>
      <x:c r="AA102" s="54">
        <x:f t="shared" si="60"/>
        <x:v>25.737198864776197</x:v>
      </x:c>
      <x:c r="AB102" s="54">
        <x:f t="shared" si="68"/>
        <x:v>1.7512164404990926E-2</x:v>
      </x:c>
      <x:c r="AC102" s="54">
        <x:f t="shared" si="76"/>
        <x:v>6.3434462648960417E-3</x:v>
      </x:c>
      <x:c r="AD102" s="54">
        <x:f t="shared" si="77"/>
        <x:v>-1.3833151012009071E-2</x:v>
      </x:c>
      <x:c r="AE102" s="55"/>
      <x:c r="AF102" s="47">
        <x:v>44895</x:v>
      </x:c>
      <x:c r="AG102" s="50">
        <x:v>30479742989.321701</x:v>
      </x:c>
      <x:c r="AH102" s="54">
        <x:f t="shared" si="61"/>
        <x:v>24.14032813562044</x:v>
      </x:c>
      <x:c r="AI102" s="54">
        <x:f t="shared" si="69"/>
        <x:v>-9.448129926987292E-3</x:v>
      </x:c>
      <x:c r="AJ102" s="54">
        <x:f t="shared" si="80"/>
        <x:v>-3.0461886750248215E-2</x:v>
      </x:c>
      <x:c r="AK102" s="54">
        <x:f t="shared" si="70"/>
        <x:v>-1.2522129926987313E-2</x:v>
      </x:c>
      <x:c r="AL102" s="55">
        <x:f t="shared" si="62"/>
        <x:v>-3.1365701325959616E-2</x:v>
      </x:c>
      <x:c r="AM102" s="47">
        <x:v>44895</x:v>
      </x:c>
      <x:c r="AN102" s="50">
        <x:v>353778774036.71802</x:v>
      </x:c>
      <x:c r="AO102" s="54">
        <x:f t="shared" si="63"/>
        <x:v>26.591937622629061</x:v>
      </x:c>
      <x:c r="AP102" s="54">
        <x:f t="shared" si="71"/>
        <x:v>1.8754539108869039E-2</x:v>
      </x:c>
      <x:c r="AQ102" s="54">
        <x:f t="shared" si="78"/>
        <x:v>1.3526280319165456E-2</x:v>
      </x:c>
      <x:c r="AR102" s="55">
        <x:f t="shared" si="79"/>
        <x:v>1.8335454615869041E-2</x:v>
      </x:c>
    </x:row>
    <x:row r="103">
      <x:c r="B103" s="47">
        <x:v>44926</x:v>
      </x:c>
      <x:c r="C103" s="50">
        <x:v>313034937418.57428</x:v>
      </x:c>
      <x:c r="D103" s="54">
        <x:f t="shared" si="57"/>
        <x:v>26.469580642402992</x:v>
      </x:c>
      <x:c r="E103" s="54">
        <x:f t="shared" si="64"/>
        <x:v>0.28919046175276009</x:v>
      </x:c>
      <x:c r="F103" s="54">
        <x:f t="shared" si="72"/>
        <x:v>0.24015636931483827</x:v>
      </x:c>
      <x:c r="G103" s="54">
        <x:f t="shared" si="73"/>
        <x:v>0.27637946175276007</x:v>
      </x:c>
      <x:c r="H103" s="55"/>
      <x:c r="J103" s="47">
        <x:v>44926</x:v>
      </x:c>
      <x:c r="K103" s="50">
        <x:v>772036130.75</x:v>
      </x:c>
      <x:c r="L103" s="54">
        <x:f t="shared" si="58"/>
        <x:v>-0.25872392856287912</x:v>
      </x:c>
      <x:c r="M103" s="54">
        <x:f t="shared" si="65"/>
        <x:v>-0.3674241736108772</x:v>
      </x:c>
      <x:c r="N103" s="54">
        <x:f t="shared" si="81"/>
        <x:v>2.8203564820889815E-2</x:v>
      </x:c>
      <x:c r="O103" s="54">
        <x:f t="shared" si="82"/>
        <x:v>-0.3674241736108772</x:v>
      </x:c>
      <x:c r="P103" s="55">
        <x:f t="shared" si="83"/>
        <x:v>0</x:v>
      </x:c>
      <x:c r="R103" s="47">
        <x:v>44926</x:v>
      </x:c>
      <x:c r="S103" s="50">
        <x:v>87891994.75</x:v>
      </x:c>
      <x:c r="T103" s="54">
        <x:f t="shared" si="59"/>
        <x:v>-2.4316465506795173</x:v>
      </x:c>
      <x:c r="U103" s="54">
        <x:f t="shared" si="66"/>
        <x:v>-9.399023686864405E-2</x:v>
      </x:c>
      <x:c r="V103" s="54">
        <x:f t="shared" si="74"/>
        <x:v>-1.066312406587717</x:v>
      </x:c>
      <x:c r="W103" s="54">
        <x:f t="shared" si="67"/>
        <x:v>-0.10616288686864406</x:v>
      </x:c>
      <x:c r="X103" s="55">
        <x:f t="shared" si="75"/>
        <x:v>0</x:v>
      </x:c>
      <x:c r="Y103" s="47">
        <x:v>44926</x:v>
      </x:c>
      <x:c r="Z103" s="50">
        <x:v>154042900002.72153</x:v>
      </x:c>
      <x:c r="AA103" s="54">
        <x:f t="shared" si="60"/>
        <x:v>25.760496972012461</x:v>
      </x:c>
      <x:c r="AB103" s="54">
        <x:f t="shared" si="68"/>
        <x:v>2.3298107236264798E-2</x:v>
      </x:c>
      <x:c r="AC103" s="54">
        <x:f t="shared" si="76"/>
        <x:v>3.2860061668609523E-3</x:v>
      </x:c>
      <x:c r="AD103" s="54">
        <x:f t="shared" si="77"/>
        <x:v>-8.0472081807351978E-3</x:v>
      </x:c>
      <x:c r="AE103" s="55"/>
      <x:c r="AF103" s="47">
        <x:v>44926</x:v>
      </x:c>
      <x:c r="AG103" s="50">
        <x:v>28295977468.680698</x:v>
      </x:c>
      <x:c r="AH103" s="54">
        <x:f t="shared" si="61"/>
        <x:v>24.065985492577035</x:v>
      </x:c>
      <x:c r="AI103" s="54">
        <x:f t="shared" si="69"/>
        <x:v>-7.4342643043404877E-2</x:v>
      </x:c>
      <x:c r="AJ103" s="54">
        <x:f t="shared" si="80"/>
        <x:v>1.6002819097411039E-2</x:v>
      </x:c>
      <x:c r="AK103" s="54">
        <x:f t="shared" si="70"/>
        <x:v>-7.7416643043404842E-2</x:v>
      </x:c>
      <x:c r="AL103" s="55">
        <x:f t="shared" si="62"/>
        <x:v>-0.10878234436936446</x:v>
      </x:c>
      <x:c r="AM103" s="47">
        <x:v>44926</x:v>
      </x:c>
      <x:c r="AN103" s="50">
        <x:v>363956182824.24896</x:v>
      </x:c>
      <x:c r="AO103" s="54">
        <x:f t="shared" si="63"/>
        <x:v>26.620299320480818</x:v>
      </x:c>
      <x:c r="AP103" s="54">
        <x:f t="shared" si="71"/>
        <x:v>2.8361697851757128E-2</x:v>
      </x:c>
      <x:c r="AQ103" s="54">
        <x:f t="shared" si="78"/>
        <x:v>1.1727247302291414E-2</x:v>
      </x:c>
      <x:c r="AR103" s="55">
        <x:f t="shared" si="79"/>
        <x:v>2.794261335875713E-2</x:v>
      </x:c>
    </x:row>
    <x:row r="104">
      <x:c r="B104" s="47">
        <x:v>44957</x:v>
      </x:c>
      <x:c r="C104" s="50">
        <x:v>255805488046.7869</x:v>
      </x:c>
      <x:c r="D104" s="54" t="n">
        <x:f t="shared" ref="D104:D135" si="84">LN(C104)</x:f>
        <x:v>26.267683180305056</x:v>
      </x:c>
      <x:c r="E104" s="54">
        <x:f t="shared" si="64"/>
        <x:v>-0.20189746209793569</x:v>
      </x:c>
      <x:c r="F104" s="54">
        <x:f t="shared" si="72"/>
        <x:v>-0.13810441187686839</x:v>
      </x:c>
      <x:c r="G104" s="54">
        <x:f t="shared" si="73"/>
        <x:v>-0.2147084620979357</x:v>
      </x:c>
      <x:c r="H104" s="55"/>
      <x:c r="J104" s="47">
        <x:v>44957</x:v>
      </x:c>
      <x:c r="K104" s="50">
        <x:v>739591589.25</x:v>
      </x:c>
      <x:c r="L104" s="54" t="n">
        <x:f t="shared" ref="L104:L135" si="85">LN(K104/1000000000)</x:f>
        <x:v>-0.3016571515592484</x:v>
      </x:c>
      <x:c r="M104" s="54">
        <x:f t="shared" si="65"/>
        <x:v>-4.2933222996369258E-2</x:v>
      </x:c>
      <x:c r="N104" s="54">
        <x:f t="shared" si="81"/>
        <x:v>0.5290935864523304</x:v>
      </x:c>
      <x:c r="O104" s="54">
        <x:f t="shared" si="82"/>
        <x:v>-4.2933222996369258E-2</x:v>
      </x:c>
      <x:c r="P104" s="55">
        <x:f t="shared" si="83"/>
        <x:v>0</x:v>
      </x:c>
      <x:c r="R104" s="47">
        <x:v>44957</x:v>
      </x:c>
      <x:c r="S104" s="50">
        <x:v>128147419.75</x:v>
      </x:c>
      <x:c r="T104" s="54" t="n">
        <x:f t="shared" ref="T104:T135" si="86">LN(S104/1000000000)</x:f>
        <x:v>-2.0545739609826423</x:v>
      </x:c>
      <x:c r="U104" s="54">
        <x:f t="shared" si="66"/>
        <x:v>0.37707258969687496</x:v>
      </x:c>
      <x:c r="V104" s="54">
        <x:f t="shared" si="74"/>
        <x:v>-0.67579744862238578</x:v>
      </x:c>
      <x:c r="W104" s="54">
        <x:f t="shared" si="67"/>
        <x:v>0.36489993969687495</x:v>
      </x:c>
      <x:c r="X104" s="55">
        <x:f t="shared" si="75"/>
        <x:v>0</x:v>
      </x:c>
      <x:c r="Y104" s="47">
        <x:v>44957</x:v>
      </x:c>
      <x:c r="Z104" s="50">
        <x:v>153509547936.8035</x:v>
      </x:c>
      <x:c r="AA104" s="54" t="n">
        <x:f t="shared" ref="AA104:AA135" si="87">LN(Z104)</x:f>
        <x:v>25.757028603581922</x:v>
      </x:c>
      <x:c r="AB104" s="54">
        <x:f t="shared" si="68"/>
        <x:v>-3.4683684305392148E-3</x:v>
      </x:c>
      <x:c r="AC104" s="54">
        <x:f t="shared" si="76"/>
        <x:v>3.706798125037377E-3</x:v>
      </x:c>
      <x:c r="AD104" s="54">
        <x:f t="shared" si="77"/>
        <x:v>-3.4813683847539217E-2</x:v>
      </x:c>
      <x:c r="AE104" s="55"/>
      <x:c r="AF104" s="47">
        <x:v>44957</x:v>
      </x:c>
      <x:c r="AG104" s="50">
        <x:v>28441684607.382999</x:v>
      </x:c>
      <x:c r="AH104" s="54" t="n">
        <x:f t="shared" ref="AH104:AH135" si="88">LN(AG104)</x:f>
        <x:v>24.071121673860784</x:v>
      </x:c>
      <x:c r="AI104" s="54">
        <x:f t="shared" si="69"/>
        <x:v>5.1361812837491527E-3</x:v>
      </x:c>
      <x:c r="AJ104" s="54">
        <x:f t="shared" si="80"/>
        <x:v>-2.4217447424189287E-2</x:v>
      </x:c>
      <x:c r="AK104" s="54">
        <x:f t="shared" si="70"/>
        <x:v>2.0621812837491316E-3</x:v>
      </x:c>
      <x:c r="AL104" s="55" t="n">
        <x:f t="shared" ref="AL104:AL139" si="89">AH104-23.8796638369464-$AH$6*(ROW()-7)</x:f>
        <x:v>-0.10672016308561533</x:v>
      </x:c>
      <x:c r="AM104" s="47">
        <x:v>44957</x:v>
      </x:c>
      <x:c r="AN104" s="50">
        <x:v>373491941830.08801</x:v>
      </x:c>
      <x:c r="AO104" s="54" t="n">
        <x:f t="shared" ref="AO104:AO135" si="90">LN(AN104)</x:f>
        <x:v>26.64616226653444</x:v>
      </x:c>
      <x:c r="AP104" s="54">
        <x:f t="shared" si="71"/>
        <x:v>2.5862946053621272E-2</x:v>
      </x:c>
      <x:c r="AQ104" s="54">
        <x:f t="shared" si="78"/>
        <x:v>1.1160820493173346E-2</x:v>
      </x:c>
      <x:c r="AR104" s="55">
        <x:f t="shared" si="79"/>
        <x:v>2.544386156062127E-2</x:v>
      </x:c>
    </x:row>
    <x:row r="105">
      <x:c r="B105" s="47">
        <x:v>44985</x:v>
      </x:c>
      <x:c r="C105" s="50">
        <x:v>241745376741.37018</x:v>
      </x:c>
      <x:c r="D105" s="54">
        <x:f t="shared" si="84"/>
        <x:v>26.21115084696611</x:v>
      </x:c>
      <x:c r="E105" s="54" t="n">
        <x:f t="shared" ref="E105:E136" si="91">D105-D104</x:f>
        <x:v>-0.05653233333894647</x:v>
      </x:c>
      <x:c r="F105" s="54">
        <x:f t="shared" si="72"/>
        <x:v>-7.2129741421917692E-2</x:v>
      </x:c>
      <x:c r="G105" s="54">
        <x:f t="shared" si="73"/>
        <x:v>-6.9343333338946489E-2</x:v>
      </x:c>
      <x:c r="H105" s="55"/>
      <x:c r="J105" s="47">
        <x:v>44985</x:v>
      </x:c>
      <x:c r="K105" s="50">
        <x:v>194639800.25</x:v>
      </x:c>
      <x:c r="L105" s="54">
        <x:f t="shared" si="85"/>
        <x:v>-1.636604606760993</x:v>
      </x:c>
      <x:c r="M105" s="54" t="n">
        <x:f t="shared" ref="M105:M136" si="92">L105-L104</x:f>
        <x:v>-1.3349474552017446</x:v>
      </x:c>
      <x:c r="N105" s="54">
        <x:f t="shared" si="81"/>
        <x:v>-0.77644658344647899</x:v>
      </x:c>
      <x:c r="O105" s="54">
        <x:f t="shared" si="82"/>
        <x:v>-1.3349474552017448</x:v>
      </x:c>
      <x:c r="P105" s="55">
        <x:f t="shared" si="83"/>
        <x:v>0</x:v>
      </x:c>
      <x:c r="R105" s="47">
        <x:v>44985</x:v>
      </x:c>
      <x:c r="S105" s="50">
        <x:v>150872296.75</x:v>
      </x:c>
      <x:c r="T105" s="54">
        <x:f t="shared" si="86"/>
        <x:v>-1.8913215168749142</x:v>
      </x:c>
      <x:c r="U105" s="54" t="n">
        <x:f t="shared" ref="U105:U136" si="93">T105-T104</x:f>
        <x:v>0.1632524441077281</x:v>
      </x:c>
      <x:c r="V105" s="54">
        <x:f t="shared" si="74"/>
        <x:v>-0.62748068177586247</x:v>
      </x:c>
      <x:c r="W105" s="54" t="n">
        <x:f t="shared" ref="W105:W139" si="94">U105-$T$6</x:f>
        <x:v>0.1510797941077281</x:v>
      </x:c>
      <x:c r="X105" s="55">
        <x:f t="shared" si="75"/>
        <x:v>0</x:v>
      </x:c>
      <x:c r="Y105" s="47">
        <x:v>44985</x:v>
      </x:c>
      <x:c r="Z105" s="50">
        <x:v>160032873775.02899</x:v>
      </x:c>
      <x:c r="AA105" s="54">
        <x:f t="shared" si="87"/>
        <x:v>25.798645092169931</x:v>
      </x:c>
      <x:c r="AB105" s="54" t="n">
        <x:f t="shared" ref="AB105:AB136" si="95">AA105-AA104</x:f>
        <x:v>0.04161648858800859</x:v>
      </x:c>
      <x:c r="AC105" s="54">
        <x:f t="shared" si="76"/>
        <x:v>2.9477428948788343E-2</x:v>
      </x:c>
      <x:c r="AD105" s="54">
        <x:f t="shared" si="77"/>
        <x:v>1.0271173171008594E-2</x:v>
      </x:c>
      <x:c r="AE105" s="55"/>
      <x:c r="AF105" s="47">
        <x:v>44985</x:v>
      </x:c>
      <x:c r="AG105" s="50">
        <x:v>29374350565.514</x:v>
      </x:c>
      <x:c r="AH105" s="54">
        <x:f t="shared" si="88"/>
        <x:v>24.103387700758304</x:v>
      </x:c>
      <x:c r="AI105" s="54" t="n">
        <x:f t="shared" ref="AI105:AI136" si="96">AH105-AH104</x:f>
        <x:v>0.03226602689752056</x:v>
      </x:c>
      <x:c r="AJ105" s="54">
        <x:f t="shared" si="80"/>
        <x:v>-5.1153507048301034E-3</x:v>
      </x:c>
      <x:c r="AK105" s="54" t="n">
        <x:f t="shared" ref="AK105:AK136" si="97">AL105-AL104</x:f>
        <x:v>0.029192026897520595</x:v>
      </x:c>
      <x:c r="AL105" s="55">
        <x:f t="shared" si="89"/>
        <x:v>-7.7528136188094732E-2</x:v>
      </x:c>
      <x:c r="AM105" s="47">
        <x:v>44985</x:v>
      </x:c>
      <x:c r="AN105" s="50">
        <x:v>381340576940.70801</x:v>
      </x:c>
      <x:c r="AO105" s="54">
        <x:f t="shared" si="90"/>
        <x:v>26.666958715511516</x:v>
      </x:c>
      <x:c r="AP105" s="54" t="n">
        <x:f t="shared" ref="AP105:AP136" si="98">AO105-AO104</x:f>
        <x:v>0.020796448977076665</x:v>
      </x:c>
      <x:c r="AQ105" s="54">
        <x:f t="shared" si="78"/>
        <x:v>1.6585143062703513E-2</x:v>
      </x:c>
      <x:c r="AR105" s="55">
        <x:f t="shared" si="79"/>
        <x:v>2.0377364484076666E-2</x:v>
      </x:c>
    </x:row>
    <x:row r="106">
      <x:c r="B106" s="47">
        <x:v>45016</x:v>
      </x:c>
      <x:c r="C106" s="50">
        <x:v>229778655810.51807</x:v>
      </x:c>
      <x:c r="D106" s="54">
        <x:f t="shared" si="84"/>
        <x:v>26.160382316456868</x:v>
      </x:c>
      <x:c r="E106" s="54">
        <x:f t="shared" si="91"/>
        <x:v>-5.0768530509241572E-2</x:v>
      </x:c>
      <x:c r="F106" s="54" t="n">
        <x:f t="shared" ref="F106:F137" si="99">E106-$D$6-$E$6*F105-$F$6*F104</x:f>
        <x:v>-0.1194564987489444</x:v>
      </x:c>
      <x:c r="G106" s="54" t="n">
        <x:f t="shared" ref="G106:G137" si="100">F106+$E$6*F105+$F$6*F104</x:f>
        <x:v>-0.06357953050924159</x:v>
      </x:c>
      <x:c r="H106" s="55"/>
      <x:c r="J106" s="47">
        <x:v>45016</x:v>
      </x:c>
      <x:c r="K106" s="50">
        <x:v>184976614.25</x:v>
      </x:c>
      <x:c r="L106" s="54">
        <x:f t="shared" si="85"/>
        <x:v>-1.6875258713536208</x:v>
      </x:c>
      <x:c r="M106" s="54">
        <x:f t="shared" si="92"/>
        <x:v>-5.0921264592627802E-2</x:v>
      </x:c>
      <x:c r="N106" s="54">
        <x:f t="shared" si="81"/>
        <x:v>-6.1370833494723276E-2</x:v>
      </x:c>
      <x:c r="O106" s="54">
        <x:f t="shared" si="82"/>
        <x:v>-5.0921264592627802E-2</x:v>
      </x:c>
      <x:c r="P106" s="55">
        <x:f t="shared" si="83"/>
        <x:v>0</x:v>
      </x:c>
      <x:c r="R106" s="47">
        <x:v>45016</x:v>
      </x:c>
      <x:c r="S106" s="50">
        <x:v>121922680.75</x:v>
      </x:c>
      <x:c r="T106" s="54">
        <x:f t="shared" si="86"/>
        <x:v>-2.104368199506657</x:v>
      </x:c>
      <x:c r="U106" s="54">
        <x:f t="shared" si="93"/>
        <x:v>-0.21304668263174276</x:v>
      </x:c>
      <x:c r="V106" s="54" t="n">
        <x:f t="shared" ref="V106:V137" si="101">U106-$T$6-$U$6*U105+V105</x:f>
        <x:v>-0.8971909581216182</x:v>
      </x:c>
      <x:c r="W106" s="54">
        <x:f t="shared" si="94"/>
        <x:v>-0.22521933263174276</x:v>
      </x:c>
      <x:c r="X106" s="55" t="n">
        <x:f t="shared" ref="X106:X139" si="102">U106-($T$6+$U$6*U105+V106-V105)</x:f>
        <x:v>0</x:v>
      </x:c>
      <x:c r="Y106" s="47">
        <x:v>45016</x:v>
      </x:c>
      <x:c r="Z106" s="50">
        <x:v>162459582781.1445</x:v>
      </x:c>
      <x:c r="AA106" s="54">
        <x:f t="shared" si="87"/>
        <x:v>25.813695086433118</x:v>
      </x:c>
      <x:c r="AB106" s="54">
        <x:f t="shared" si="95"/>
        <x:v>1.5049994263186761E-2</x:v>
      </x:c>
      <x:c r="AC106" s="54">
        <x:f t="shared" si="76"/>
        <x:v>3.421193165574057E-3</x:v>
      </x:c>
      <x:c r="AD106" s="54">
        <x:f t="shared" si="77"/>
        <x:v>-1.6295321153813238E-2</x:v>
      </x:c>
      <x:c r="AE106" s="55"/>
      <x:c r="AF106" s="47">
        <x:v>45016</x:v>
      </x:c>
      <x:c r="AG106" s="50">
        <x:v>30161506220.6157</x:v>
      </x:c>
      <x:c r="AH106" s="54">
        <x:f t="shared" si="88"/>
        <x:v>24.129832319841004</x:v>
      </x:c>
      <x:c r="AI106" s="54">
        <x:f t="shared" si="96"/>
        <x:v>2.6444619082699461E-2</x:v>
      </x:c>
      <x:c r="AJ106" s="54">
        <x:f t="shared" si="80"/>
        <x:v>-1.2184421189776227E-2</x:v>
      </x:c>
      <x:c r="AK106" s="54">
        <x:f t="shared" si="97"/>
        <x:v>2.337061908269944E-2</x:v>
      </x:c>
      <x:c r="AL106" s="55">
        <x:f t="shared" si="89"/>
        <x:v>-5.4157517105395292E-2</x:v>
      </x:c>
      <x:c r="AM106" s="47">
        <x:v>45016</x:v>
      </x:c>
      <x:c r="AN106" s="50">
        <x:v>380241484479.34796</x:v>
      </x:c>
      <x:c r="AO106" s="54">
        <x:f t="shared" si="90"/>
        <x:v>26.664072373303423</x:v>
      </x:c>
      <x:c r="AP106" s="54">
        <x:f t="shared" si="98"/>
        <x:v>-2.88634220809314E-3</x:v>
      </x:c>
      <x:c r="AQ106" s="54">
        <x:f t="shared" si="78"/>
        <x:v>-9.0478654654142319E-3</x:v>
      </x:c>
      <x:c r="AR106" s="55">
        <x:f t="shared" si="79"/>
        <x:v>-3.3054267010931395E-3</x:v>
      </x:c>
    </x:row>
    <x:row r="107">
      <x:c r="B107" s="47">
        <x:v>45046</x:v>
      </x:c>
      <x:c r="C107" s="50">
        <x:v>222755678020.88721</x:v>
      </x:c>
      <x:c r="D107" s="54">
        <x:f t="shared" si="84"/>
        <x:v>26.129341393526378</x:v>
      </x:c>
      <x:c r="E107" s="54">
        <x:f t="shared" si="91"/>
        <x:v>-3.1040922930490211E-2</x:v>
      </x:c>
      <x:c r="F107" s="54">
        <x:f t="shared" si="99"/>
        <x:v>-0.10405479974430454</x:v>
      </x:c>
      <x:c r="G107" s="54">
        <x:f t="shared" si="100"/>
        <x:v>-4.38519229304902E-2</x:v>
      </x:c>
      <x:c r="H107" s="55"/>
      <x:c r="J107" s="47">
        <x:v>45046</x:v>
      </x:c>
      <x:c r="K107" s="50">
        <x:v>158186495.25</x:v>
      </x:c>
      <x:c r="L107" s="54">
        <x:f t="shared" si="85"/>
        <x:v>-1.8439805923366341</x:v>
      </x:c>
      <x:c r="M107" s="54">
        <x:f t="shared" si="92"/>
        <x:v>-0.15645472098301338</x:v>
      </x:c>
      <x:c r="N107" s="54">
        <x:f t="shared" si="81"/>
        <x:v>-0.15337358148316493</x:v>
      </x:c>
      <x:c r="O107" s="54">
        <x:f t="shared" si="82"/>
        <x:v>-0.15645472098301338</x:v>
      </x:c>
      <x:c r="P107" s="55">
        <x:f t="shared" si="83"/>
        <x:v>0</x:v>
      </x:c>
      <x:c r="R107" s="47">
        <x:v>45046</x:v>
      </x:c>
      <x:c r="S107" s="50">
        <x:v>228708486.75</x:v>
      </x:c>
      <x:c r="T107" s="54">
        <x:f t="shared" si="86"/>
        <x:v>-1.4753070699842807</x:v>
      </x:c>
      <x:c r="U107" s="54">
        <x:f t="shared" si="93"/>
        <x:v>0.62906112952237625</x:v>
      </x:c>
      <x:c r="V107" s="54">
        <x:f t="shared" si="101"/>
        <x:v>-0.22224118575163709</x:v>
      </x:c>
      <x:c r="W107" s="54">
        <x:f t="shared" si="94"/>
        <x:v>0.61688847952237624</x:v>
      </x:c>
      <x:c r="X107" s="55">
        <x:f t="shared" si="102"/>
        <x:v>0</x:v>
      </x:c>
      <x:c r="Y107" s="47">
        <x:v>45046</x:v>
      </x:c>
      <x:c r="Z107" s="50">
        <x:v>170179022438.11902</x:v>
      </x:c>
      <x:c r="AA107" s="54">
        <x:f t="shared" si="87"/>
        <x:v>25.860116793069498</x:v>
      </x:c>
      <x:c r="AB107" s="54">
        <x:f t="shared" si="95"/>
        <x:v>4.6421706636380122E-2</x:v>
      </x:c>
      <x:c r="AC107" s="54" t="n">
        <x:f t="shared" ref="AC107:AC138" si="103">AB107-$AC$4-$AA$6*AB106-$AB$6*AB105-$AC$6*AC106-$AD$6*AC105-$AE$6*AC104</x:f>
        <x:v>0.04559030873543561</x:v>
      </x:c>
      <x:c r="AD107" s="54" t="n">
        <x:f t="shared" ref="AD107:AD138" si="104">$AA$6*AB106+$AB$6*AB105+AC107+$AC$6*AC106+$AD$6*AC105+$AE$6*AC104</x:f>
        <x:v>0.015076391219380137</x:v>
      </x:c>
      <x:c r="AE107" s="55"/>
      <x:c r="AF107" s="47">
        <x:v>45046</x:v>
      </x:c>
      <x:c r="AG107" s="50">
        <x:v>31279293681.5966</x:v>
      </x:c>
      <x:c r="AH107" s="54">
        <x:f t="shared" si="88"/>
        <x:v>24.166222171856962</x:v>
      </x:c>
      <x:c r="AI107" s="54">
        <x:f t="shared" si="96"/>
        <x:v>3.6389852015958013E-2</x:v>
      </x:c>
      <x:c r="AJ107" s="54">
        <x:f t="shared" si="80"/>
        <x:v>7.2647371439323021E-3</x:v>
      </x:c>
      <x:c r="AK107" s="54">
        <x:f t="shared" si="97"/>
        <x:v>3.3315852015957992E-2</x:v>
      </x:c>
      <x:c r="AL107" s="55">
        <x:f t="shared" si="89"/>
        <x:v>-2.08416650894373E-2</x:v>
      </x:c>
      <x:c r="AM107" s="47">
        <x:v>45046</x:v>
      </x:c>
      <x:c r="AN107" s="50">
        <x:v>382099806015.68201</x:v>
      </x:c>
      <x:c r="AO107" s="54">
        <x:f t="shared" si="90"/>
        <x:v>26.668947683719686</x:v>
      </x:c>
      <x:c r="AP107" s="54">
        <x:f t="shared" si="98"/>
        <x:v>4.8753104162635452E-3</x:v>
      </x:c>
      <x:c r="AQ107" s="54">
        <x:f t="shared" si="78"/>
        <x:v>-5.8245065444203128E-3</x:v>
      </x:c>
      <x:c r="AR107" s="55">
        <x:f t="shared" si="79"/>
        <x:v>4.4562259232635466E-3</x:v>
      </x:c>
    </x:row>
    <x:row r="108">
      <x:c r="B108" s="47">
        <x:v>45077</x:v>
      </x:c>
      <x:c r="C108" s="50">
        <x:v>212971397137.74219</x:v>
      </x:c>
      <x:c r="D108" s="54">
        <x:f t="shared" si="84"/>
        <x:v>26.084423707900399</x:v>
      </x:c>
      <x:c r="E108" s="54">
        <x:f t="shared" si="91"/>
        <x:v>-4.4917685625978976E-2</x:v>
      </x:c>
      <x:c r="F108" s="54">
        <x:f t="shared" si="99"/>
        <x:v>-0.1218632973149468</x:v>
      </x:c>
      <x:c r="G108" s="54">
        <x:f t="shared" si="100"/>
        <x:v>-5.7728685625978972E-2</x:v>
      </x:c>
      <x:c r="H108" s="55"/>
      <x:c r="J108" s="47">
        <x:v>45077</x:v>
      </x:c>
      <x:c r="K108" s="50">
        <x:v>109434250.25</x:v>
      </x:c>
      <x:c r="L108" s="54">
        <x:f t="shared" si="85"/>
        <x:v>-2.2124313644083831</x:v>
      </x:c>
      <x:c r="M108" s="54">
        <x:f t="shared" si="92"/>
        <x:v>-0.36845077207174892</x:v>
      </x:c>
      <x:c r="N108" s="54">
        <x:f t="shared" si="81"/>
        <x:v>-0.78254358327972118</x:v>
      </x:c>
      <x:c r="O108" s="54">
        <x:f t="shared" si="82"/>
        <x:v>-0.36845077207174903</x:v>
      </x:c>
      <x:c r="P108" s="55">
        <x:f t="shared" si="83"/>
        <x:v>0</x:v>
      </x:c>
      <x:c r="R108" s="47">
        <x:v>45077</x:v>
      </x:c>
      <x:c r="S108" s="50">
        <x:v>150699398.75</x:v>
      </x:c>
      <x:c r="T108" s="54">
        <x:f t="shared" si="86"/>
        <x:v>-1.8924681630723112</x:v>
      </x:c>
      <x:c r="U108" s="54">
        <x:f t="shared" si="93"/>
        <x:v>-0.41716109308803051</x:v>
      </x:c>
      <x:c r="V108" s="54">
        <x:f t="shared" si="101"/>
        <x:v>-0.8230120148767065</x:v>
      </x:c>
      <x:c r="W108" s="54">
        <x:f t="shared" si="94"/>
        <x:v>-0.42933374308803052</x:v>
      </x:c>
      <x:c r="X108" s="55">
        <x:f t="shared" si="102"/>
        <x:v>0</x:v>
      </x:c>
      <x:c r="Y108" s="47">
        <x:v>45077</x:v>
      </x:c>
      <x:c r="Z108" s="50">
        <x:v>168723015660.58902</x:v>
      </x:c>
      <x:c r="AA108" s="54">
        <x:f t="shared" si="87"/>
        <x:v>25.851524246716021</x:v>
      </x:c>
      <x:c r="AB108" s="54">
        <x:f t="shared" si="95"/>
        <x:v>-8.5925463534763935E-3</x:v>
      </x:c>
      <x:c r="AC108" s="54">
        <x:f t="shared" si="103"/>
        <x:v>1.2476480734530108E-2</x:v>
      </x:c>
      <x:c r="AD108" s="54">
        <x:f t="shared" si="104"/>
        <x:v>-3.9937861770476396E-2</x:v>
      </x:c>
      <x:c r="AE108" s="55"/>
      <x:c r="AF108" s="47">
        <x:v>45077</x:v>
      </x:c>
      <x:c r="AG108" s="50">
        <x:v>32169514048.094597</x:v>
      </x:c>
      <x:c r="AH108" s="54">
        <x:f t="shared" si="88"/>
        <x:v>24.194285072335493</x:v>
      </x:c>
      <x:c r="AI108" s="54">
        <x:f t="shared" si="96"/>
        <x:v>2.8062900478531105E-2</x:v>
      </x:c>
      <x:c r="AJ108" s="54">
        <x:f t="shared" si="80"/>
        <x:v>1.4496831619004516E-4</x:v>
      </x:c>
      <x:c r="AK108" s="54">
        <x:f t="shared" si="97"/>
        <x:v>2.498890047853114E-2</x:v>
      </x:c>
      <x:c r="AL108" s="55">
        <x:f t="shared" si="89"/>
        <x:v>4.1472353890938396E-3</x:v>
      </x:c>
      <x:c r="AM108" s="47">
        <x:v>45077</x:v>
      </x:c>
      <x:c r="AN108" s="50">
        <x:v>384023215974.92902</x:v>
      </x:c>
      <x:c r="AO108" s="54">
        <x:f t="shared" si="90"/>
        <x:v>26.673968845974656</x:v>
      </x:c>
      <x:c r="AP108" s="54">
        <x:f t="shared" si="98"/>
        <x:v>5.0211622549696244E-3</x:v>
      </x:c>
      <x:c r="AQ108" s="54">
        <x:f t="shared" si="78"/>
        <x:v>-1.5922497584569648E-3</x:v>
      </x:c>
      <x:c r="AR108" s="55">
        <x:f t="shared" si="79"/>
        <x:v>4.6020777619696258E-3</x:v>
      </x:c>
    </x:row>
    <x:row r="109">
      <x:c r="B109" s="47">
        <x:v>45107</x:v>
      </x:c>
      <x:c r="C109" s="50">
        <x:v>225418420445.96033</x:v>
      </x:c>
      <x:c r="D109" s="54">
        <x:f t="shared" si="84"/>
        <x:v>26.14122415857565</x:v>
      </x:c>
      <x:c r="E109" s="54">
        <x:f t="shared" si="91"/>
        <x:v>5.6800450675250858E-2</x:v>
      </x:c>
      <x:c r="F109" s="54">
        <x:f t="shared" si="99"/>
        <x:v>-2.3719027124456581E-2</x:v>
      </x:c>
      <x:c r="G109" s="54">
        <x:f t="shared" si="100"/>
        <x:v>4.3989450675250855E-2</x:v>
      </x:c>
      <x:c r="H109" s="55"/>
      <x:c r="J109" s="47">
        <x:v>45107</x:v>
      </x:c>
      <x:c r="K109" s="50">
        <x:v>133757956.25</x:v>
      </x:c>
      <x:c r="L109" s="54">
        <x:f t="shared" si="85"/>
        <x:v>-2.0117234089939333</x:v>
      </x:c>
      <x:c r="M109" s="54">
        <x:f t="shared" si="92"/>
        <x:v>0.20070795541444975</x:v>
      </x:c>
      <x:c r="N109" s="54">
        <x:f t="shared" si="81"/>
        <x:v>7.2450451988504416E-2</x:v>
      </x:c>
      <x:c r="O109" s="54">
        <x:f t="shared" si="82"/>
        <x:v>0.20070795541444975</x:v>
      </x:c>
      <x:c r="P109" s="55">
        <x:f t="shared" si="83"/>
        <x:v>0</x:v>
      </x:c>
      <x:c r="R109" s="47">
        <x:v>45107</x:v>
      </x:c>
      <x:c r="S109" s="50">
        <x:v>157534911.75</x:v>
      </x:c>
      <x:c r="T109" s="54">
        <x:f t="shared" si="86"/>
        <x:v>-1.8481081833750577</x:v>
      </x:c>
      <x:c r="U109" s="54">
        <x:f t="shared" si="93"/>
        <x:v>4.4359979697253582E-2</x:v>
      </x:c>
      <x:c r="V109" s="54">
        <x:f t="shared" si="101"/>
        <x:v>-0.6771363982218116</x:v>
      </x:c>
      <x:c r="W109" s="54">
        <x:f t="shared" si="94"/>
        <x:v>3.2187329697253582E-2</x:v>
      </x:c>
      <x:c r="X109" s="55">
        <x:f t="shared" si="102"/>
        <x:v>0</x:v>
      </x:c>
      <x:c r="Y109" s="47">
        <x:v>45107</x:v>
      </x:c>
      <x:c r="Z109" s="50">
        <x:v>171092543091.83652</x:v>
      </x:c>
      <x:c r="AA109" s="54">
        <x:f t="shared" si="87"/>
        <x:v>25.865470434731396</x:v>
      </x:c>
      <x:c r="AB109" s="54">
        <x:f t="shared" si="95"/>
        <x:v>1.3946188015374616E-2</x:v>
      </x:c>
      <x:c r="AC109" s="54">
        <x:f t="shared" si="103"/>
        <x:v>-7.4524893581854688E-3</x:v>
      </x:c>
      <x:c r="AD109" s="54">
        <x:f t="shared" si="104"/>
        <x:v>-1.7399127401625376E-2</x:v>
      </x:c>
      <x:c r="AE109" s="55"/>
      <x:c r="AF109" s="47">
        <x:v>45107</x:v>
      </x:c>
      <x:c r="AG109" s="50">
        <x:v>32541393721.008202</x:v>
      </x:c>
      <x:c r="AH109" s="54">
        <x:f t="shared" si="88"/>
        <x:v>24.205778768828324</x:v>
      </x:c>
      <x:c r="AI109" s="54">
        <x:f t="shared" si="96"/>
        <x:v>1.1493696492831162E-2</x:v>
      </x:c>
      <x:c r="AJ109" s="54">
        <x:f t="shared" si="80"/>
        <x:v>-9.9605969165617782E-3</x:v>
      </x:c>
      <x:c r="AK109" s="54">
        <x:f t="shared" si="97"/>
        <x:v>8.4196964928311413E-3</x:v>
      </x:c>
      <x:c r="AL109" s="55">
        <x:f t="shared" si="89"/>
        <x:v>1.2566931881924981E-2</x:v>
      </x:c>
      <x:c r="AM109" s="47">
        <x:v>45107</x:v>
      </x:c>
      <x:c r="AN109" s="50">
        <x:v>380470035525.02399</x:v>
      </x:c>
      <x:c r="AO109" s="54">
        <x:f t="shared" si="90"/>
        <x:v>26.664673260884438</x:v>
      </x:c>
      <x:c r="AP109" s="54">
        <x:f t="shared" si="98"/>
        <x:v>-9.2955850902178838E-3</x:v>
      </x:c>
      <x:c r="AQ109" s="54">
        <x:f t="shared" si="78"/>
        <x:v>-1.4502208681193292E-2</x:v>
      </x:c>
      <x:c r="AR109" s="55">
        <x:f t="shared" si="79"/>
        <x:v>-9.7146695832178859E-3</x:v>
      </x:c>
    </x:row>
    <x:row r="110">
      <x:c r="B110" s="47">
        <x:v>45138</x:v>
      </x:c>
      <x:c r="C110" s="50">
        <x:v>210946137121.3089</x:v>
      </x:c>
      <x:c r="D110" s="54">
        <x:f t="shared" si="84"/>
        <x:v>26.074868663527852</x:v>
      </x:c>
      <x:c r="E110" s="54">
        <x:f t="shared" si="91"/>
        <x:v>-6.635549504779803E-2</x:v>
      </x:c>
      <x:c r="F110" s="54">
        <x:f t="shared" si="99"/>
        <x:v>-0.11332829531320678</x:v>
      </x:c>
      <x:c r="G110" s="54">
        <x:f t="shared" si="100"/>
        <x:v>-7.9166495047798033E-2</x:v>
      </x:c>
      <x:c r="H110" s="55"/>
      <x:c r="J110" s="47">
        <x:v>45138</x:v>
      </x:c>
      <x:c r="K110" s="50">
        <x:v>107662796</x:v>
      </x:c>
      <x:c r="L110" s="54">
        <x:f t="shared" si="85"/>
        <x:v>-2.2287511955382198</x:v>
      </x:c>
      <x:c r="M110" s="54">
        <x:f t="shared" si="92"/>
        <x:v>-0.21702778654428645</x:v>
      </x:c>
      <x:c r="N110" s="54">
        <x:f t="shared" si="81"/>
        <x:v>-0.35326088568092268</x:v>
      </x:c>
      <x:c r="O110" s="54">
        <x:f t="shared" si="82"/>
        <x:v>-0.21702778654428651</x:v>
      </x:c>
      <x:c r="P110" s="55">
        <x:f t="shared" si="83"/>
        <x:v>0</x:v>
      </x:c>
      <x:c r="R110" s="47">
        <x:v>45138</x:v>
      </x:c>
      <x:c r="S110" s="50">
        <x:v>170766080.75</x:v>
      </x:c>
      <x:c r="T110" s="54">
        <x:f t="shared" si="86"/>
        <x:v>-1.767460607806038</x:v>
      </x:c>
      <x:c r="U110" s="54">
        <x:f t="shared" si="93"/>
        <x:v>8.0647575569019692E-2</x:v>
      </x:c>
      <x:c r="V110" s="54">
        <x:f t="shared" si="101"/>
        <x:v>-0.62075083137971487</x:v>
      </x:c>
      <x:c r="W110" s="54">
        <x:f t="shared" si="94"/>
        <x:v>6.8474925569019685E-2</x:v>
      </x:c>
      <x:c r="X110" s="55">
        <x:f t="shared" si="102"/>
        <x:v>0</x:v>
      </x:c>
      <x:c r="Y110" s="47">
        <x:v>45138</x:v>
      </x:c>
      <x:c r="Z110" s="50">
        <x:v>172291380574.34351</x:v>
      </x:c>
      <x:c r="AA110" s="54">
        <x:f t="shared" si="87"/>
        <x:v>25.87245295354321</x:v>
      </x:c>
      <x:c r="AB110" s="54">
        <x:f t="shared" si="95"/>
        <x:v>6.982518811813776E-3</x:v>
      </x:c>
      <x:c r="AC110" s="54">
        <x:f t="shared" si="103"/>
        <x:v>-1.8440637314559236E-3</x:v>
      </x:c>
      <x:c r="AD110" s="54">
        <x:f t="shared" si="104"/>
        <x:v>-2.4362796605186223E-2</x:v>
      </x:c>
      <x:c r="AE110" s="55"/>
      <x:c r="AF110" s="47">
        <x:v>45138</x:v>
      </x:c>
      <x:c r="AG110" s="50">
        <x:v>32671215632.841003</x:v>
      </x:c>
      <x:c r="AH110" s="54">
        <x:f t="shared" si="88"/>
        <x:v>24.209760271320487</x:v>
      </x:c>
      <x:c r="AI110" s="54">
        <x:f t="shared" si="96"/>
        <x:v>3.9815024921630027E-3</x:v>
      </x:c>
      <x:c r="AJ110" s="54">
        <x:f t="shared" si="80"/>
        <x:v>-1.20017927702043E-2</x:v>
      </x:c>
      <x:c r="AK110" s="54">
        <x:f t="shared" si="97"/>
        <x:v>9.0750249216298151E-4</x:v>
      </x:c>
      <x:c r="AL110" s="55">
        <x:f t="shared" si="89"/>
        <x:v>1.3474434374087962E-2</x:v>
      </x:c>
      <x:c r="AM110" s="47">
        <x:v>45138</x:v>
      </x:c>
      <x:c r="AN110" s="50">
        <x:v>386191166027.91797</x:v>
      </x:c>
      <x:c r="AO110" s="54">
        <x:f t="shared" si="90"/>
        <x:v>26.679598332593031</x:v>
      </x:c>
      <x:c r="AP110" s="54">
        <x:f t="shared" si="98"/>
        <x:v>1.4925071708592696E-2</x:v>
      </x:c>
      <x:c r="AQ110" s="54">
        <x:f t="shared" si="78"/>
        <x:v>1.8870141482870179E-3</x:v>
      </x:c>
      <x:c r="AR110" s="55">
        <x:f t="shared" si="79"/>
        <x:v>1.4505987215592696E-2</x:v>
      </x:c>
    </x:row>
    <x:row r="111">
      <x:c r="B111" s="47">
        <x:v>45169</x:v>
      </x:c>
      <x:c r="C111" s="50">
        <x:v>212643790444.19119</x:v>
      </x:c>
      <x:c r="D111" s="54">
        <x:f t="shared" si="84"/>
        <x:v>26.082884257392948</x:v>
      </x:c>
      <x:c r="E111" s="54">
        <x:f t="shared" si="91"/>
        <x:v>8.0155938650960934E-3</x:v>
      </x:c>
      <x:c r="F111" s="54">
        <x:f t="shared" si="99"/>
        <x:v>-5.2676820443982447E-2</x:v>
      </x:c>
      <x:c r="G111" s="54">
        <x:f t="shared" si="100"/>
        <x:v>-4.795406134903913E-3</x:v>
      </x:c>
      <x:c r="H111" s="55"/>
      <x:c r="J111" s="47">
        <x:v>45169</x:v>
      </x:c>
      <x:c r="K111" s="50">
        <x:v>632906386</x:v>
      </x:c>
      <x:c r="L111" s="54">
        <x:f t="shared" si="85"/>
        <x:v>-0.45743275719016052</x:v>
      </x:c>
      <x:c r="M111" s="54">
        <x:f t="shared" si="92"/>
        <x:v>1.7713184383480591</x:v>
      </x:c>
      <x:c r="N111" s="54">
        <x:f t="shared" si="81"/>
        <x:v>0.78497909010607225</x:v>
      </x:c>
      <x:c r="O111" s="54">
        <x:f t="shared" si="82"/>
        <x:v>1.7713184383480591</x:v>
      </x:c>
      <x:c r="P111" s="55">
        <x:f t="shared" si="83"/>
        <x:v>0</x:v>
      </x:c>
      <x:c r="R111" s="47">
        <x:v>45169</x:v>
      </x:c>
      <x:c r="S111" s="50">
        <x:v>149692331.75</x:v>
      </x:c>
      <x:c r="T111" s="54">
        <x:f t="shared" si="86"/>
        <x:v>-1.8991732129834507</x:v>
      </x:c>
      <x:c r="U111" s="54">
        <x:f t="shared" si="93"/>
        <x:v>-0.13171260517741268</x:v>
      </x:c>
      <x:c r="V111" s="54">
        <x:f t="shared" si="101"/>
        <x:v>-0.78661484935558912</x:v>
      </x:c>
      <x:c r="W111" s="54">
        <x:f t="shared" si="94"/>
        <x:v>-0.14388525517741269</x:v>
      </x:c>
      <x:c r="X111" s="55">
        <x:f t="shared" si="102"/>
        <x:v>0</x:v>
      </x:c>
      <x:c r="Y111" s="47">
        <x:v>45169</x:v>
      </x:c>
      <x:c r="Z111" s="50">
        <x:v>168276147403.85852</x:v>
      </x:c>
      <x:c r="AA111" s="54">
        <x:f t="shared" si="87"/>
        <x:v>25.848872201443378</x:v>
      </x:c>
      <x:c r="AB111" s="54">
        <x:f t="shared" si="95"/>
        <x:v>-2.3580752099832125E-2</x:v>
      </x:c>
      <x:c r="AC111" s="54">
        <x:f t="shared" si="103"/>
        <x:v>-2.7059760613786777E-2</x:v>
      </x:c>
      <x:c r="AD111" s="54">
        <x:f t="shared" si="104"/>
        <x:v>-5.4926067516832128E-2</x:v>
      </x:c>
      <x:c r="AE111" s="55"/>
      <x:c r="AF111" s="47">
        <x:v>45169</x:v>
      </x:c>
      <x:c r="AG111" s="50">
        <x:v>27903474552.274902</x:v>
      </x:c>
      <x:c r="AH111" s="54">
        <x:f t="shared" si="88"/>
        <x:v>24.052017053943608</x:v>
      </x:c>
      <x:c r="AI111" s="54">
        <x:f t="shared" si="96"/>
        <x:v>-0.15774321737687913</x:v>
      </x:c>
      <x:c r="AJ111" s="54">
        <x:f t="shared" si="80"/>
        <x:v>-4.7627995183559285E-2</x:v>
      </x:c>
      <x:c r="AK111" s="54">
        <x:f t="shared" si="97"/>
        <x:v>-0.1608172173768791</x:v>
      </x:c>
      <x:c r="AL111" s="55">
        <x:f t="shared" si="89"/>
        <x:v>-0.14734278300279113</x:v>
      </x:c>
      <x:c r="AM111" s="47">
        <x:v>45169</x:v>
      </x:c>
      <x:c r="AN111" s="50">
        <x:v>381008590089.52197</x:v>
      </x:c>
      <x:c r="AO111" s="54">
        <x:f t="shared" si="90"/>
        <x:v>26.666087757985675</x:v>
      </x:c>
      <x:c r="AP111" s="54">
        <x:f t="shared" si="98"/>
        <x:v>-1.3510574607355608E-2</x:v>
      </x:c>
      <x:c r="AQ111" s="54">
        <x:f t="shared" si="78"/>
        <x:v>-1.3682571349741025E-2</x:v>
      </x:c>
      <x:c r="AR111" s="55">
        <x:f t="shared" si="79"/>
        <x:v>-1.3929659100355608E-2</x:v>
      </x:c>
    </x:row>
    <x:row r="112">
      <x:c r="B112" s="47">
        <x:v>45199</x:v>
      </x:c>
      <x:c r="C112" s="50">
        <x:v>237251043254.16342</x:v>
      </x:c>
      <x:c r="D112" s="54">
        <x:f t="shared" si="84"/>
        <x:v>26.192384671704602</x:v>
      </x:c>
      <x:c r="E112" s="54">
        <x:f t="shared" si="91"/>
        <x:v>0.10950041431165403</x:v>
      </x:c>
      <x:c r="F112" s="54">
        <x:f t="shared" si="99"/>
        <x:v>5.3307010896595536E-2</x:v>
      </x:c>
      <x:c r="G112" s="54">
        <x:f t="shared" si="100"/>
        <x:v>9.6689414311654023E-2</x:v>
      </x:c>
      <x:c r="H112" s="55"/>
      <x:c r="J112" s="47">
        <x:v>45199</x:v>
      </x:c>
      <x:c r="K112" s="50">
        <x:v>864108860</x:v>
      </x:c>
      <x:c r="L112" s="54">
        <x:f t="shared" si="85"/>
        <x:v>-0.1460565227444611</x:v>
      </x:c>
      <x:c r="M112" s="54">
        <x:f t="shared" si="92"/>
        <x:v>0.3113762344456994</x:v>
      </x:c>
      <x:c r="N112" s="54">
        <x:f t="shared" si="81"/>
        <x:v>0.30285938919193339</x:v>
      </x:c>
      <x:c r="O112" s="54">
        <x:f t="shared" si="82"/>
        <x:v>0.3113762344456994</x:v>
      </x:c>
      <x:c r="P112" s="55">
        <x:f t="shared" si="83"/>
        <x:v>0</x:v>
      </x:c>
      <x:c r="R112" s="47">
        <x:v>45199</x:v>
      </x:c>
      <x:c r="S112" s="50">
        <x:v>147551758.75</x:v>
      </x:c>
      <x:c r="T112" s="54">
        <x:f t="shared" si="86"/>
        <x:v>-1.9135762579759863</x:v>
      </x:c>
      <x:c r="U112" s="54">
        <x:f t="shared" si="93"/>
        <x:v>-1.4403044992535641E-2</x:v>
      </x:c>
      <x:c r="V112" s="54">
        <x:f t="shared" si="101"/>
        <x:v>-0.77729510562803228</x:v>
      </x:c>
      <x:c r="W112" s="54">
        <x:f t="shared" si="94"/>
        <x:v>-2.6575694992535641E-2</x:v>
      </x:c>
      <x:c r="X112" s="55">
        <x:f t="shared" si="102"/>
        <x:v>0</x:v>
      </x:c>
      <x:c r="Y112" s="47">
        <x:v>45199</x:v>
      </x:c>
      <x:c r="Z112" s="50">
        <x:v>179012530522.6615</x:v>
      </x:c>
      <x:c r="AA112" s="54">
        <x:f t="shared" si="87"/>
        <x:v>25.910721643256974</x:v>
      </x:c>
      <x:c r="AB112" s="54">
        <x:f t="shared" si="95"/>
        <x:v>6.1849441813595973E-2</x:v>
      </x:c>
      <x:c r="AC112" s="54">
        <x:f t="shared" si="103"/>
        <x:v>2.1254732756959178E-2</x:v>
      </x:c>
      <x:c r="AD112" s="54">
        <x:f t="shared" si="104"/>
        <x:v>3.0504126396595978E-2</x:v>
      </x:c>
      <x:c r="AE112" s="55"/>
      <x:c r="AF112" s="47">
        <x:v>45199</x:v>
      </x:c>
      <x:c r="AG112" s="50">
        <x:v>28304652161.163498</x:v>
      </x:c>
      <x:c r="AH112" s="54">
        <x:f t="shared" si="88"/>
        <x:v>24.066292015405754</x:v>
      </x:c>
      <x:c r="AI112" s="54">
        <x:f t="shared" si="96"/>
        <x:v>1.4274961462145797E-2</x:v>
      </x:c>
      <x:c r="AJ112" s="54">
        <x:f t="shared" si="80"/>
        <x:v>-2.0597205323339168E-2</x:v>
      </x:c>
      <x:c r="AK112" s="54">
        <x:f t="shared" si="97"/>
        <x:v>1.1200961462145775E-2</x:v>
      </x:c>
      <x:c r="AL112" s="55">
        <x:f t="shared" si="89"/>
        <x:v>-0.13614182154064536</x:v>
      </x:c>
      <x:c r="AM112" s="47">
        <x:v>45199</x:v>
      </x:c>
      <x:c r="AN112" s="50">
        <x:v>386064321714.685</x:v>
      </x:c>
      <x:c r="AO112" s="54">
        <x:f t="shared" si="90"/>
        <x:v>26.679269829095453</x:v>
      </x:c>
      <x:c r="AP112" s="54">
        <x:f t="shared" si="98"/>
        <x:v>1.3182071109778093E-2</x:v>
      </x:c>
      <x:c r="AQ112" s="54">
        <x:f t="shared" si="78"/>
        <x:v>4.8212684549437676E-3</x:v>
      </x:c>
      <x:c r="AR112" s="55">
        <x:f t="shared" si="79"/>
        <x:v>1.2762986616778094E-2</x:v>
      </x:c>
    </x:row>
    <x:row r="113">
      <x:c r="B113" s="47">
        <x:v>45230</x:v>
      </x:c>
      <x:c r="C113" s="50">
        <x:v>255653521077.7402</x:v>
      </x:c>
      <x:c r="D113" s="54">
        <x:f t="shared" si="84"/>
        <x:v>26.267088931417824</x:v>
      </x:c>
      <x:c r="E113" s="54">
        <x:f t="shared" si="91"/>
        <x:v>7.4704259713222143E-2</x:v>
      </x:c>
      <x:c r="F113" s="54">
        <x:f t="shared" si="99"/>
        <x:v>7.1233463953668308E-2</x:v>
      </x:c>
      <x:c r="G113" s="54">
        <x:f t="shared" si="100"/>
        <x:v>6.189325971322214E-2</x:v>
      </x:c>
      <x:c r="H113" s="55"/>
      <x:c r="J113" s="47">
        <x:v>45230</x:v>
      </x:c>
      <x:c r="K113" s="50">
        <x:v>904410260</x:v>
      </x:c>
      <x:c r="L113" s="54">
        <x:f t="shared" si="85"/>
        <x:v>-0.1004721941048559</x:v>
      </x:c>
      <x:c r="M113" s="54">
        <x:f t="shared" si="92"/>
        <x:v>4.5584328639605196E-2</x:v>
      </x:c>
      <x:c r="N113" s="54">
        <x:f t="shared" si="81"/>
        <x:v>0.31284696089607256</x:v>
      </x:c>
      <x:c r="O113" s="54">
        <x:f t="shared" si="82"/>
        <x:v>4.5584328639605154E-2</x:v>
      </x:c>
      <x:c r="P113" s="55">
        <x:f t="shared" si="83"/>
        <x:v>0</x:v>
      </x:c>
      <x:c r="R113" s="47">
        <x:v>45230</x:v>
      </x:c>
      <x:c r="S113" s="50">
        <x:v>223780248.75</x:v>
      </x:c>
      <x:c r="T113" s="54">
        <x:f t="shared" si="86"/>
        <x:v>-1.4970907410203753</x:v>
      </x:c>
      <x:c r="U113" s="54">
        <x:f t="shared" si="93"/>
        <x:v>0.41648551695561098</x:v>
      </x:c>
      <x:c r="V113" s="54">
        <x:f t="shared" si="101"/>
        <x:v>-0.36905699842517303</x:v>
      </x:c>
      <x:c r="W113" s="54">
        <x:f t="shared" si="94"/>
        <x:v>0.40431286695561097</x:v>
      </x:c>
      <x:c r="X113" s="55">
        <x:f t="shared" si="102"/>
        <x:v>0</x:v>
      </x:c>
      <x:c r="Y113" s="47">
        <x:v>45230</x:v>
      </x:c>
      <x:c r="Z113" s="50">
        <x:v>178081997627.18201</x:v>
      </x:c>
      <x:c r="AA113" s="54">
        <x:f t="shared" si="87"/>
        <x:v>25.905509941993738</x:v>
      </x:c>
      <x:c r="AB113" s="54">
        <x:f t="shared" si="95"/>
        <x:v>-5.2117012632351134E-3</x:v>
      </x:c>
      <x:c r="AC113" s="54">
        <x:f t="shared" si="103"/>
        <x:v>-6.7350440871959943E-3</x:v>
      </x:c>
      <x:c r="AD113" s="54">
        <x:f t="shared" si="104"/>
        <x:v>-3.6557016680235109E-2</x:v>
      </x:c>
      <x:c r="AE113" s="55"/>
      <x:c r="AF113" s="47">
        <x:v>45230</x:v>
      </x:c>
      <x:c r="AG113" s="50">
        <x:v>29910422633.531799</x:v>
      </x:c>
      <x:c r="AH113" s="54">
        <x:f t="shared" si="88"/>
        <x:v>24.121472839663355</x:v>
      </x:c>
      <x:c r="AI113" s="54">
        <x:f t="shared" si="96"/>
        <x:v>5.5180824257600847E-2</x:v>
      </x:c>
      <x:c r="AJ113" s="54">
        <x:f t="shared" si="80"/>
        <x:v>1.0261498082082959E-2</x:v>
      </x:c>
      <x:c r="AK113" s="54">
        <x:f t="shared" si="97"/>
        <x:v>5.2106824257600881E-2</x:v>
      </x:c>
      <x:c r="AL113" s="55">
        <x:f t="shared" si="89"/>
        <x:v>-8.4034997283044477E-2</x:v>
      </x:c>
      <x:c r="AM113" s="47">
        <x:v>45230</x:v>
      </x:c>
      <x:c r="AN113" s="50">
        <x:v>391696251940.31299</x:v>
      </x:c>
      <x:c r="AO113" s="54">
        <x:f t="shared" si="90"/>
        <x:v>26.693752508872681</x:v>
      </x:c>
      <x:c r="AP113" s="54">
        <x:f t="shared" si="98"/>
        <x:v>1.4482679777227503E-2</x:v>
      </x:c>
      <x:c r="AQ113" s="54">
        <x:f t="shared" si="78"/>
        <x:v>1.1138438126960941E-2</x:v>
      </x:c>
      <x:c r="AR113" s="55">
        <x:f t="shared" si="79"/>
        <x:v>1.4063595284227501E-2</x:v>
      </x:c>
    </x:row>
    <x:row r="114">
      <x:c r="B114" s="47">
        <x:v>45260</x:v>
      </x:c>
      <x:c r="C114" s="50">
        <x:v>272332958436.65137</x:v>
      </x:c>
      <x:c r="D114" s="54">
        <x:f t="shared" si="84"/>
        <x:v>26.330291266527752</x:v>
      </x:c>
      <x:c r="E114" s="54">
        <x:f t="shared" si="91"/>
        <x:v>6.3202335109927787E-2</x:v>
      </x:c>
      <x:c r="F114" s="54">
        <x:f t="shared" si="99"/>
        <x:v>8.8417105450962305E-2</x:v>
      </x:c>
      <x:c r="G114" s="54">
        <x:f t="shared" si="100"/>
        <x:v>5.0391335109927785E-2</x:v>
      </x:c>
      <x:c r="H114" s="55"/>
      <x:c r="J114" s="47">
        <x:v>45260</x:v>
      </x:c>
      <x:c r="K114" s="50">
        <x:v>965429566</x:v>
      </x:c>
      <x:c r="L114" s="54">
        <x:f t="shared" si="85"/>
        <x:v>-3.5182130577300089E-2</x:v>
      </x:c>
      <x:c r="M114" s="54">
        <x:f t="shared" si="92"/>
        <x:v>6.5290063527555814E-2</x:v>
      </x:c>
      <x:c r="N114" s="54">
        <x:f t="shared" si="81"/>
        <x:v>0.29737185862945176</x:v>
      </x:c>
      <x:c r="O114" s="54">
        <x:f t="shared" si="82"/>
        <x:v>6.5290063527555786E-2</x:v>
      </x:c>
      <x:c r="P114" s="55">
        <x:f t="shared" si="83"/>
        <x:v>0</x:v>
      </x:c>
      <x:c r="R114" s="47">
        <x:v>45260</x:v>
      </x:c>
      <x:c r="S114" s="50">
        <x:v>153365565.75</x:v>
      </x:c>
      <x:c r="T114" s="54">
        <x:f t="shared" si="86"/>
        <x:v>-1.8749308888453859</x:v>
      </x:c>
      <x:c r="U114" s="54">
        <x:f t="shared" si="93"/>
        <x:v>-0.37784014782501063</x:v>
      </x:c>
      <x:c r="V114" s="54">
        <x:f t="shared" si="101"/>
        <x:v>-0.87257396945782095</x:v>
      </x:c>
      <x:c r="W114" s="54">
        <x:f t="shared" si="94"/>
        <x:v>-0.39001279782501064</x:v>
      </x:c>
      <x:c r="X114" s="55">
        <x:f t="shared" si="102"/>
        <x:v>0</x:v>
      </x:c>
      <x:c r="Y114" s="47">
        <x:v>45260</x:v>
      </x:c>
      <x:c r="Z114" s="50">
        <x:v>175628656035.34302</x:v>
      </x:c>
      <x:c r="AA114" s="54">
        <x:f t="shared" si="87"/>
        <x:v>25.891637694100837</x:v>
      </x:c>
      <x:c r="AB114" s="54">
        <x:f t="shared" si="95"/>
        <x:v>-1.3872247892901868E-2</x:v>
      </x:c>
      <x:c r="AC114" s="54">
        <x:f t="shared" si="103"/>
        <x:v>-2.2859592289027907E-2</x:v>
      </x:c>
      <x:c r="AD114" s="54">
        <x:f t="shared" si="104"/>
        <x:v>-4.521756330990187E-2</x:v>
      </x:c>
      <x:c r="AE114" s="55"/>
      <x:c r="AF114" s="47">
        <x:v>45260</x:v>
      </x:c>
      <x:c r="AG114" s="50">
        <x:v>30524752281.155701</x:v>
      </x:c>
      <x:c r="AH114" s="54">
        <x:f t="shared" si="88"/>
        <x:v>24.141803741632796</x:v>
      </x:c>
      <x:c r="AI114" s="54">
        <x:f t="shared" si="96"/>
        <x:v>2.0330901969440873E-2</x:v>
      </x:c>
      <x:c r="AJ114" s="54">
        <x:f t="shared" si="80"/>
        <x:v>-2.1208055558640665E-4</x:v>
      </x:c>
      <x:c r="AK114" s="54">
        <x:f t="shared" si="97"/>
        <x:v>1.7256901969440852E-2</x:v>
      </x:c>
      <x:c r="AL114" s="55">
        <x:f t="shared" si="89"/>
        <x:v>-6.6778095313603625E-2</x:v>
      </x:c>
      <x:c r="AM114" s="47">
        <x:v>45260</x:v>
      </x:c>
      <x:c r="AN114" s="50">
        <x:v>392514716207.09198</x:v>
      </x:c>
      <x:c r="AO114" s="54">
        <x:f t="shared" si="90"/>
        <x:v>26.695839866987264</x:v>
      </x:c>
      <x:c r="AP114" s="54">
        <x:f t="shared" si="98"/>
        <x:v>2.0873581145828268E-3</x:v>
      </x:c>
      <x:c r="AQ114" s="54">
        <x:f t="shared" si="78"/>
        <x:v>-6.8848492911095273E-3</x:v>
      </x:c>
      <x:c r="AR114" s="55">
        <x:f t="shared" si="79"/>
        <x:v>1.6682736215828282E-3</x:v>
      </x:c>
    </x:row>
    <x:row r="115">
      <x:c r="B115" s="47">
        <x:v>45291</x:v>
      </x:c>
      <x:c r="C115" s="50">
        <x:v>302393179772.83368</x:v>
      </x:c>
      <x:c r="D115" s="54">
        <x:f t="shared" si="84"/>
        <x:v>26.434993927336187</x:v>
      </x:c>
      <x:c r="E115" s="54">
        <x:f t="shared" si="91"/>
        <x:v>0.10470266080843516</x:v>
      </x:c>
      <x:c r="F115" s="54">
        <x:f t="shared" si="99"/>
        <x:v>0.14013679792166175</x:v>
      </x:c>
      <x:c r="G115" s="54">
        <x:f t="shared" si="100"/>
        <x:v>9.1891660808435138E-2</x:v>
      </x:c>
      <x:c r="H115" s="55"/>
      <x:c r="J115" s="47">
        <x:v>45291</x:v>
      </x:c>
      <x:c r="K115" s="50">
        <x:v>142991482</x:v>
      </x:c>
      <x:c r="L115" s="54">
        <x:f t="shared" si="85"/>
        <x:v>-1.9449702169299465</x:v>
      </x:c>
      <x:c r="M115" s="54">
        <x:f t="shared" si="92"/>
        <x:v>-1.9097880863526464</x:v>
      </x:c>
      <x:c r="N115" s="54">
        <x:f t="shared" si="81"/>
        <x:v>-1.530687924487464</x:v>
      </x:c>
      <x:c r="O115" s="54">
        <x:f t="shared" si="82"/>
        <x:v>-1.9097880863526464</x:v>
      </x:c>
      <x:c r="P115" s="55">
        <x:f t="shared" si="83"/>
        <x:v>0</x:v>
      </x:c>
      <x:c r="R115" s="47">
        <x:v>45291</x:v>
      </x:c>
      <x:c r="S115" s="50">
        <x:v>185847684.75</x:v>
      </x:c>
      <x:c r="T115" s="54">
        <x:f t="shared" si="86"/>
        <x:v>-1.6828278399435914</x:v>
      </x:c>
      <x:c r="U115" s="54">
        <x:f t="shared" si="93"/>
        <x:v>0.19210304890179453</x:v>
      </x:c>
      <x:c r="V115" s="54">
        <x:f t="shared" si="101"/>
        <x:v>-0.58967136182949798</x:v>
      </x:c>
      <x:c r="W115" s="54">
        <x:f t="shared" si="94"/>
        <x:v>0.17993039890179452</x:v>
      </x:c>
      <x:c r="X115" s="55">
        <x:f t="shared" si="102"/>
        <x:v>0</x:v>
      </x:c>
      <x:c r="Y115" s="47">
        <x:v>45291</x:v>
      </x:c>
      <x:c r="Z115" s="50">
        <x:v>177915297300.04752</x:v>
      </x:c>
      <x:c r="AA115" s="54">
        <x:f t="shared" si="87"/>
        <x:v>25.904573416117309</x:v>
      </x:c>
      <x:c r="AB115" s="54">
        <x:f t="shared" si="95"/>
        <x:v>1.2935722016472084E-2</x:v>
      </x:c>
      <x:c r="AC115" s="54">
        <x:f t="shared" si="103"/>
        <x:v>-1.2693885364039002E-2</x:v>
      </x:c>
      <x:c r="AD115" s="54">
        <x:f t="shared" si="104"/>
        <x:v>-1.8409593400527911E-2</x:v>
      </x:c>
      <x:c r="AE115" s="55"/>
      <x:c r="AF115" s="47">
        <x:v>45291</x:v>
      </x:c>
      <x:c r="AG115" s="50">
        <x:v>27638241300.538898</x:v>
      </x:c>
      <x:c r="AH115" s="54">
        <x:f t="shared" si="88"/>
        <x:v>24.042466205042139</x:v>
      </x:c>
      <x:c r="AI115" s="54">
        <x:f t="shared" si="96"/>
        <x:v>-9.9337536590656583E-2</x:v>
      </x:c>
      <x:c r="AJ115" s="54">
        <x:f t="shared" si="80"/>
        <x:v>-1.7730535580250284E-2</x:v>
      </x:c>
      <x:c r="AK115" s="54">
        <x:f t="shared" si="97"/>
        <x:v>-0.1024115365906566</x:v>
      </x:c>
      <x:c r="AL115" s="55">
        <x:f t="shared" si="89"/>
        <x:v>-0.16918963190426023</x:v>
      </x:c>
      <x:c r="AM115" s="47">
        <x:v>45291</x:v>
      </x:c>
      <x:c r="AN115" s="50">
        <x:v>399979449370.61096</x:v>
      </x:c>
      <x:c r="AO115" s="54">
        <x:f t="shared" si="90"/>
        <x:v>26.714679006161099</x:v>
      </x:c>
      <x:c r="AP115" s="54">
        <x:f t="shared" si="98"/>
        <x:v>1.8839139173834951E-2</x:v>
      </x:c>
      <x:c r="AQ115" s="54">
        <x:f t="shared" si="78"/>
        <x:v>-4.3069532724184997E-4</x:v>
      </x:c>
      <x:c r="AR115" s="55">
        <x:f t="shared" si="79"/>
        <x:v>1.8420054680834953E-2</x:v>
      </x:c>
    </x:row>
    <x:row r="116">
      <x:c r="B116" s="47">
        <x:v>45322</x:v>
      </x:c>
      <x:c r="C116" s="50">
        <x:v>307039915184.41168</x:v>
      </x:c>
      <x:c r="D116" s="54">
        <x:f t="shared" si="84"/>
        <x:v>26.450243592969478</x:v>
      </x:c>
      <x:c r="E116" s="54">
        <x:f t="shared" si="91"/>
        <x:v>1.5249665633291443E-2</x:v>
      </x:c>
      <x:c r="F116" s="54">
        <x:f t="shared" si="99"/>
        <x:v>7.3848641681179106E-2</x:v>
      </x:c>
      <x:c r="G116" s="54">
        <x:f t="shared" si="100"/>
        <x:v>2.4386656332914432E-3</x:v>
      </x:c>
      <x:c r="H116" s="55"/>
      <x:c r="J116" s="47">
        <x:v>45322</x:v>
      </x:c>
      <x:c r="K116" s="50">
        <x:v>208990273</x:v>
      </x:c>
      <x:c r="L116" s="54">
        <x:f t="shared" si="85"/>
        <x:v>-1.5654675687702331</x:v>
      </x:c>
      <x:c r="M116" s="54">
        <x:f t="shared" si="92"/>
        <x:v>0.37950264815971346</x:v>
      </x:c>
      <x:c r="N116" s="54">
        <x:f t="shared" si="81"/>
        <x:v>-5.2615173245271318E-2</x:v>
      </x:c>
      <x:c r="O116" s="54">
        <x:f t="shared" si="82"/>
        <x:v>0.37950264815971346</x:v>
      </x:c>
      <x:c r="P116" s="55">
        <x:f t="shared" si="83"/>
        <x:v>0</x:v>
      </x:c>
      <x:c r="R116" s="47">
        <x:v>45322</x:v>
      </x:c>
      <x:c r="S116" s="50">
        <x:v>166297023.75</x:v>
      </x:c>
      <x:c r="T116" s="54">
        <x:f t="shared" si="86"/>
        <x:v>-1.7939797898165268</x:v>
      </x:c>
      <x:c r="U116" s="54">
        <x:f t="shared" si="93"/>
        <x:v>-0.11115194987293542</x:v>
      </x:c>
      <x:c r="V116" s="54">
        <x:f t="shared" si="101"/>
        <x:v>-0.76534951746506608</x:v>
      </x:c>
      <x:c r="W116" s="54">
        <x:f t="shared" si="94"/>
        <x:v>-0.12332459987293543</x:v>
      </x:c>
      <x:c r="X116" s="55">
        <x:f t="shared" si="102"/>
        <x:v>0</x:v>
      </x:c>
      <x:c r="Y116" s="47">
        <x:v>45322</x:v>
      </x:c>
      <x:c r="Z116" s="50">
        <x:v>183830632029.89551</x:v>
      </x:c>
      <x:c r="AA116" s="54">
        <x:f t="shared" si="87"/>
        <x:v>25.93728069255689</x:v>
      </x:c>
      <x:c r="AB116" s="54">
        <x:f t="shared" si="95"/>
        <x:v>3.2707276439580824E-2</x:v>
      </x:c>
      <x:c r="AC116" s="54">
        <x:f t="shared" si="103"/>
        <x:v>7.4504453948354317E-3</x:v>
      </x:c>
      <x:c r="AD116" s="54">
        <x:f t="shared" si="104"/>
        <x:v>1.3619610225808279E-3</x:v>
      </x:c>
      <x:c r="AE116" s="55"/>
      <x:c r="AF116" s="47">
        <x:v>45322</x:v>
      </x:c>
      <x:c r="AG116" s="50">
        <x:v>29332750865.0989</x:v>
      </x:c>
      <x:c r="AH116" s="54">
        <x:f t="shared" si="88"/>
        <x:v>24.101970505687728</x:v>
      </x:c>
      <x:c r="AI116" s="54">
        <x:f t="shared" si="96"/>
        <x:v>5.950430064558887E-2</x:v>
      </x:c>
      <x:c r="AJ116" s="54">
        <x:f t="shared" si="80"/>
        <x:v>2.9595005454560012E-2</x:v>
      </x:c>
      <x:c r="AK116" s="54">
        <x:f t="shared" si="97"/>
        <x:v>5.6430300645588904E-2</x:v>
      </x:c>
      <x:c r="AL116" s="55">
        <x:f t="shared" si="89"/>
        <x:v>-0.11275933125867132</x:v>
      </x:c>
      <x:c r="AM116" s="47">
        <x:v>45322</x:v>
      </x:c>
      <x:c r="AN116" s="50">
        <x:v>410251090108.06396</x:v>
      </x:c>
      <x:c r="AO116" s="54">
        <x:f t="shared" si="90"/>
        <x:v>26.740035224093006</x:v>
      </x:c>
      <x:c r="AP116" s="54">
        <x:f t="shared" si="98"/>
        <x:v>2.5356217931907565E-2</x:v>
      </x:c>
      <x:c r="AQ116" s="54" t="n">
        <x:f t="shared" ref="AQ116:AQ139" si="105">AP116-$AO$6-$AP$6*AP104-$AQ$6*AQ104</x:f>
        <x:v>0.008063596311852423</x:v>
      </x:c>
      <x:c r="AR116" s="55" t="n">
        <x:f t="shared" ref="AR116:AR139" si="106">$AP$6*AP104+AQ116+$AQ$6*AQ104</x:f>
        <x:v>0.02493713343890757</x:v>
      </x:c>
    </x:row>
    <x:row r="117">
      <x:c r="B117" s="47">
        <x:v>45351</x:v>
      </x:c>
      <x:c r="C117" s="50">
        <x:v>312800228976.54504</x:v>
      </x:c>
      <x:c r="D117" s="54">
        <x:f t="shared" si="84"/>
        <x:v>26.468830577639501</x:v>
      </x:c>
      <x:c r="E117" s="54">
        <x:f t="shared" si="91"/>
        <x:v>1.8586984670022844E-2</x:v>
      </x:c>
      <x:c r="F117" s="54">
        <x:f t="shared" si="99"/>
        <x:v>6.2724601063910743E-2</x:v>
      </x:c>
      <x:c r="G117" s="54">
        <x:f t="shared" si="100"/>
        <x:v>5.7759846700228441E-3</x:v>
      </x:c>
      <x:c r="H117" s="55"/>
      <x:c r="J117" s="47">
        <x:v>45351</x:v>
      </x:c>
      <x:c r="K117" s="50">
        <x:v>208463176</x:v>
      </x:c>
      <x:c r="L117" s="54">
        <x:f t="shared" si="85"/>
        <x:v>-1.5679928672502268</x:v>
      </x:c>
      <x:c r="M117" s="54">
        <x:f t="shared" si="92"/>
        <x:v>-2.5252984799937206E-3</x:v>
      </x:c>
      <x:c r="N117" s="54">
        <x:f t="shared" si="81"/>
        <x:v>0.16955590322451539</x:v>
      </x:c>
      <x:c r="O117" s="54">
        <x:f t="shared" si="82"/>
        <x:v>-2.5252984799937206E-3</x:v>
      </x:c>
      <x:c r="P117" s="55">
        <x:f t="shared" si="83"/>
        <x:v>0</x:v>
      </x:c>
      <x:c r="R117" s="47">
        <x:v>45351</x:v>
      </x:c>
      <x:c r="S117" s="50">
        <x:v>178762008.75</x:v>
      </x:c>
      <x:c r="T117" s="54">
        <x:f t="shared" si="86"/>
        <x:v>-1.7216999178464354</x:v>
      </x:c>
      <x:c r="U117" s="54">
        <x:f t="shared" si="93"/>
        <x:v>7.2279871970091447E-2</x:v>
      </x:c>
      <x:c r="V117" s="54">
        <x:f t="shared" si="101"/>
        <x:v>-0.67495022132402838</x:v>
      </x:c>
      <x:c r="W117" s="54">
        <x:f t="shared" si="94"/>
        <x:v>6.0107221970091447E-2</x:v>
      </x:c>
      <x:c r="X117" s="55">
        <x:f t="shared" si="102"/>
        <x:v>0</x:v>
      </x:c>
      <x:c r="Y117" s="47">
        <x:v>45351</x:v>
      </x:c>
      <x:c r="Z117" s="50">
        <x:v>186763733838.24899</x:v>
      </x:c>
      <x:c r="AA117" s="54">
        <x:f t="shared" si="87"/>
        <x:v>25.953110199557848</x:v>
      </x:c>
      <x:c r="AB117" s="54">
        <x:f t="shared" si="95"/>
        <x:v>1.5829507000958642E-2</x:v>
      </x:c>
      <x:c r="AC117" s="54">
        <x:f t="shared" si="103"/>
        <x:v>8.3512466632392028E-3</x:v>
      </x:c>
      <x:c r="AD117" s="54">
        <x:f t="shared" si="104"/>
        <x:v>-1.5515808416041353E-2</x:v>
      </x:c>
      <x:c r="AE117" s="55"/>
      <x:c r="AF117" s="47">
        <x:v>45351</x:v>
      </x:c>
      <x:c r="AG117" s="50">
        <x:v>30364782774.702999</x:v>
      </x:c>
      <x:c r="AH117" s="54">
        <x:f t="shared" si="88"/>
        <x:v>24.136549312465092</x:v>
      </x:c>
      <x:c r="AI117" s="54">
        <x:f t="shared" si="96"/>
        <x:v>3.457880677736469E-2</x:v>
      </x:c>
      <x:c r="AJ117" s="54" t="n">
        <x:f t="shared" ref="AJ117:AJ139" si="107">AL117-$AI$6*AL116-$AJ$6*AL105-$AK$6*AL104-$AL$6*AJ105</x:f>
        <x:v>-0.0019996291028701076</x:v>
      </x:c>
      <x:c r="AK117" s="54">
        <x:f t="shared" si="97"/>
        <x:v>3.1504806777364669E-2</x:v>
      </x:c>
      <x:c r="AL117" s="55">
        <x:f t="shared" si="89"/>
        <x:v>-8.1254524481306656E-2</x:v>
      </x:c>
      <x:c r="AM117" s="47">
        <x:v>45351</x:v>
      </x:c>
      <x:c r="AN117" s="50">
        <x:v>415999220087.38599</x:v>
      </x:c>
      <x:c r="AO117" s="54">
        <x:f t="shared" si="90"/>
        <x:v>26.753949222415979</x:v>
      </x:c>
      <x:c r="AP117" s="54">
        <x:f t="shared" si="98"/>
        <x:v>1.3913998322973242E-2</x:v>
      </x:c>
      <x:c r="AQ117" s="54">
        <x:f t="shared" si="105"/>
        <x:v>5.0857526074026722E-3</x:v>
      </x:c>
      <x:c r="AR117" s="55">
        <x:f t="shared" si="106"/>
        <x:v>1.3494913829973242E-2</x:v>
      </x:c>
    </x:row>
    <x:row r="118">
      <x:c r="B118" s="47">
        <x:v>45382</x:v>
      </x:c>
      <x:c r="C118" s="50">
        <x:v>276970783413.69458</x:v>
      </x:c>
      <x:c r="D118" s="54">
        <x:f t="shared" si="84"/>
        <x:v>26.347177862530053</x:v>
      </x:c>
      <x:c r="E118" s="54">
        <x:f t="shared" si="91"/>
        <x:v>-0.1216527151094482</x:v>
      </x:c>
      <x:c r="F118" s="54">
        <x:f t="shared" si="99"/>
        <x:v>-9.5423204245671814E-2</x:v>
      </x:c>
      <x:c r="G118" s="54">
        <x:f t="shared" si="100"/>
        <x:v>-0.13446371510944821</x:v>
      </x:c>
      <x:c r="H118" s="55"/>
      <x:c r="J118" s="47">
        <x:v>45382</x:v>
      </x:c>
      <x:c r="K118" s="50">
        <x:v>176388120</x:v>
      </x:c>
      <x:c r="L118" s="54">
        <x:f t="shared" si="85"/>
        <x:v>-1.7350684846161284</x:v>
      </x:c>
      <x:c r="M118" s="54">
        <x:f t="shared" si="92"/>
        <x:v>-0.1670756173659016</x:v>
      </x:c>
      <x:c r="N118" s="54" t="n">
        <x:f t="shared" ref="N118:N139" si="108">M118-$M$6*M117-$N$6*M106-$O$6*M105-$P$6*N117</x:f>
        <x:v>-0.24381105806603112</x:v>
      </x:c>
      <x:c r="O118" s="54" t="n">
        <x:f t="shared" ref="O118:O139" si="109">$M$6*M117+$N$6*M106+$O$6*M105+N118+$P$6*N117</x:f>
        <x:v>-0.16707561736590162</x:v>
      </x:c>
      <x:c r="P118" s="55" t="n">
        <x:f t="shared" ref="P118:P139" si="110">M118-($L$6+O118)</x:f>
        <x:v>2.7755575615628914e-17</x:v>
      </x:c>
      <x:c r="R118" s="47">
        <x:v>45382</x:v>
      </x:c>
      <x:c r="S118" s="50">
        <x:v>125842907.75</x:v>
      </x:c>
      <x:c r="T118" s="54">
        <x:f t="shared" si="86"/>
        <x:v>-2.0727209137762483</x:v>
      </x:c>
      <x:c r="U118" s="54">
        <x:f t="shared" si="93"/>
        <x:v>-0.35102099592981295</x:v>
      </x:c>
      <x:c r="V118" s="54">
        <x:f t="shared" si="101"/>
        <x:v>-1.0578421923420425</x:v>
      </x:c>
      <x:c r="W118" s="54">
        <x:f t="shared" si="94"/>
        <x:v>-0.36319364592981296</x:v>
      </x:c>
      <x:c r="X118" s="55">
        <x:f t="shared" si="102"/>
        <x:v>0</x:v>
      </x:c>
      <x:c r="Y118" s="47">
        <x:v>45382</x:v>
      </x:c>
      <x:c r="Z118" s="50">
        <x:v>191537058734.49698</x:v>
      </x:c>
      <x:c r="AA118" s="54">
        <x:f t="shared" si="87"/>
        <x:v>25.978347145040686</x:v>
      </x:c>
      <x:c r="AB118" s="54">
        <x:f t="shared" si="95"/>
        <x:v>2.523694548283828E-2</x:v>
      </x:c>
      <x:c r="AC118" s="54">
        <x:f t="shared" si="103"/>
        <x:v>1.9022010159295066E-2</x:v>
      </x:c>
      <x:c r="AD118" s="54">
        <x:f t="shared" si="104"/>
        <x:v>-6.1083699341617165E-3</x:v>
      </x:c>
      <x:c r="AE118" s="55"/>
      <x:c r="AF118" s="47">
        <x:v>45382</x:v>
      </x:c>
      <x:c r="AG118" s="50">
        <x:v>30553771174.412998</x:v>
      </x:c>
      <x:c r="AH118" s="54">
        <x:f t="shared" si="88"/>
        <x:v>24.142753957643237</x:v>
      </x:c>
      <x:c r="AI118" s="54">
        <x:f t="shared" si="96"/>
        <x:v>6.2046451781441192E-3</x:v>
      </x:c>
      <x:c r="AJ118" s="54">
        <x:f t="shared" si="107"/>
        <x:v>-2.9583126486170081E-2</x:v>
      </x:c>
      <x:c r="AK118" s="54">
        <x:f t="shared" si="97"/>
        <x:v>3.130645178144098E-3</x:v>
      </x:c>
      <x:c r="AL118" s="55">
        <x:f t="shared" si="89"/>
        <x:v>-7.8123879303162558E-2</x:v>
      </x:c>
      <x:c r="AM118" s="47">
        <x:v>45382</x:v>
      </x:c>
      <x:c r="AN118" s="50">
        <x:v>414611595554.95001</x:v>
      </x:c>
      <x:c r="AO118" s="54">
        <x:f t="shared" si="90"/>
        <x:v>26.750608004610417</x:v>
      </x:c>
      <x:c r="AP118" s="54">
        <x:f t="shared" si="98"/>
        <x:v>-3.3412178055627351E-3</x:v>
      </x:c>
      <x:c r="AQ118" s="54">
        <x:f t="shared" si="105"/>
        <x:v>-7.1659501657430026E-3</x:v>
      </x:c>
      <x:c r="AR118" s="55">
        <x:f t="shared" si="106"/>
        <x:v>-3.7603022985627345E-3</x:v>
      </x:c>
    </x:row>
    <x:row r="119">
      <x:c r="B119" s="47">
        <x:v>45412</x:v>
      </x:c>
      <x:c r="C119" s="50">
        <x:v>256362366536.302</x:v>
      </x:c>
      <x:c r="D119" s="54">
        <x:f t="shared" si="84"/>
        <x:v>26.269857774840741</x:v>
      </x:c>
      <x:c r="E119" s="54">
        <x:f t="shared" si="91"/>
        <x:v>-7.7320087689312089E-2</x:v>
      </x:c>
      <x:c r="F119" s="54">
        <x:f t="shared" si="99"/>
        <x:v>-0.11337022682690974</x:v>
      </x:c>
      <x:c r="G119" s="54">
        <x:f t="shared" si="100"/>
        <x:v>-9.0131087689312106E-2</x:v>
      </x:c>
      <x:c r="H119" s="55"/>
      <x:c r="J119" s="47">
        <x:v>45412</x:v>
      </x:c>
      <x:c r="K119" s="50">
        <x:v>192254786</x:v>
      </x:c>
      <x:c r="L119" s="54">
        <x:f t="shared" si="85"/>
        <x:v>-1.6489337762378502</x:v>
      </x:c>
      <x:c r="M119" s="54">
        <x:f t="shared" si="92"/>
        <x:v>8.6134708378278191E-2</x:v>
      </x:c>
      <x:c r="N119" s="54">
        <x:f t="shared" si="108"/>
        <x:v>-9.7529732165569649E-3</x:v>
      </x:c>
      <x:c r="O119" s="54">
        <x:f t="shared" si="109"/>
        <x:v>8.6134708378278191E-2</x:v>
      </x:c>
      <x:c r="P119" s="55">
        <x:f t="shared" si="110"/>
        <x:v>0</x:v>
      </x:c>
      <x:c r="R119" s="47">
        <x:v>45412</x:v>
      </x:c>
      <x:c r="S119" s="50">
        <x:v>142661233.75</x:v>
      </x:c>
      <x:c r="T119" s="54">
        <x:f t="shared" si="86"/>
        <x:v>-1.9472824539851457</x:v>
      </x:c>
      <x:c r="U119" s="54">
        <x:f t="shared" si="93"/>
        <x:v>0.12543845979110269</x:v>
      </x:c>
      <x:c r="V119" s="54">
        <x:f t="shared" si="101"/>
        <x:v>-0.84891315706168169</x:v>
      </x:c>
      <x:c r="W119" s="54">
        <x:f t="shared" si="94"/>
        <x:v>0.11326580979110268</x:v>
      </x:c>
      <x:c r="X119" s="55">
        <x:f t="shared" si="102"/>
        <x:v>0</x:v>
      </x:c>
      <x:c r="Y119" s="47">
        <x:v>45412</x:v>
      </x:c>
      <x:c r="Z119" s="50">
        <x:v>190247602818.21448</x:v>
      </x:c>
      <x:c r="AA119" s="54">
        <x:f t="shared" si="87"/>
        <x:v>25.971592233441751</x:v>
      </x:c>
      <x:c r="AB119" s="54">
        <x:f t="shared" si="95"/>
        <x:v>-6.7549115989358199E-3</x:v>
      </x:c>
      <x:c r="AC119" s="54">
        <x:f t="shared" si="103"/>
        <x:v>-1.1114544605632663E-2</x:v>
      </x:c>
      <x:c r="AD119" s="54">
        <x:f t="shared" si="104"/>
        <x:v>-3.8100227015935823E-2</x:v>
      </x:c>
      <x:c r="AE119" s="55"/>
      <x:c r="AF119" s="47">
        <x:v>45412</x:v>
      </x:c>
      <x:c r="AG119" s="50">
        <x:v>32245313263.682697</x:v>
      </x:c>
      <x:c r="AH119" s="54">
        <x:f t="shared" si="88"/>
        <x:v>24.196638544470343</x:v>
      </x:c>
      <x:c r="AI119" s="54">
        <x:f t="shared" si="96"/>
        <x:v>5.3884586827106062E-2</x:v>
      </x:c>
      <x:c r="AJ119" s="54">
        <x:f t="shared" si="107"/>
        <x:v>2.0512936673363055E-2</x:v>
      </x:c>
      <x:c r="AK119" s="54">
        <x:f t="shared" si="97"/>
        <x:v>5.0810586827106097E-2</x:v>
      </x:c>
      <x:c r="AL119" s="55">
        <x:f t="shared" si="89"/>
        <x:v>-2.7313292476056461E-2</x:v>
      </x:c>
      <x:c r="AM119" s="47">
        <x:v>45412</x:v>
      </x:c>
      <x:c r="AN119" s="50">
        <x:v>418516563045.31</x:v>
      </x:c>
      <x:c r="AO119" s="54">
        <x:f t="shared" si="90"/>
        <x:v>26.759982303261985</x:v>
      </x:c>
      <x:c r="AP119" s="54">
        <x:f t="shared" si="98"/>
        <x:v>9.37429865156858E-3</x:v>
      </x:c>
      <x:c r="AQ119" s="54">
        <x:f t="shared" si="105"/>
        <x:v>4.0023449664662245E-4</x:v>
      </x:c>
      <x:c r="AR119" s="55">
        <x:f t="shared" si="106"/>
        <x:v>8.9552141585685797E-3</x:v>
      </x:c>
    </x:row>
    <x:row r="120">
      <x:c r="B120" s="47">
        <x:v>45443</x:v>
      </x:c>
      <x:c r="C120" s="50">
        <x:v>270157213855.8139</x:v>
      </x:c>
      <x:c r="D120" s="54">
        <x:f t="shared" si="84"/>
        <x:v>26.322269900029376</x:v>
      </x:c>
      <x:c r="E120" s="54">
        <x:f t="shared" si="91"/>
        <x:v>5.2412125188634917E-2</x:v>
      </x:c>
      <x:c r="F120" s="54">
        <x:f t="shared" si="99"/>
        <x:v>-2.3103607451663181E-2</x:v>
      </x:c>
      <x:c r="G120" s="54">
        <x:f t="shared" si="100"/>
        <x:v>3.9601125188634914E-2</x:v>
      </x:c>
      <x:c r="H120" s="55"/>
      <x:c r="J120" s="47">
        <x:v>45443</x:v>
      </x:c>
      <x:c r="K120" s="50">
        <x:v>284089750</x:v>
      </x:c>
      <x:c r="L120" s="54">
        <x:f t="shared" si="85"/>
        <x:v>-1.258465069618329</x:v>
      </x:c>
      <x:c r="M120" s="54">
        <x:f t="shared" si="92"/>
        <x:v>0.39046870661952116</x:v>
      </x:c>
      <x:c r="N120" s="54">
        <x:f t="shared" si="108"/>
        <x:v>0.42524846695471835</x:v>
      </x:c>
      <x:c r="O120" s="54">
        <x:f t="shared" si="109"/>
        <x:v>0.39046870661952116</x:v>
      </x:c>
      <x:c r="P120" s="55">
        <x:f t="shared" si="110"/>
        <x:v>0</x:v>
      </x:c>
      <x:c r="R120" s="47">
        <x:v>45443</x:v>
      </x:c>
      <x:c r="S120" s="50">
        <x:v>156037836.75</x:v>
      </x:c>
      <x:c r="T120" s="54">
        <x:f t="shared" si="86"/>
        <x:v>-1.8576567578722327</x:v>
      </x:c>
      <x:c r="U120" s="54">
        <x:f t="shared" si="93"/>
        <x:v>8.9625696112912934E-2</x:v>
      </x:c>
      <x:c r="V120" s="54">
        <x:f t="shared" si="101"/>
        <x:v>-0.80564566623794831</x:v>
      </x:c>
      <x:c r="W120" s="54">
        <x:f t="shared" si="94"/>
        <x:v>7.7453046112912927E-2</x:v>
      </x:c>
      <x:c r="X120" s="55">
        <x:f t="shared" si="102"/>
        <x:v>0</x:v>
      </x:c>
      <x:c r="Y120" s="47">
        <x:v>45443</x:v>
      </x:c>
      <x:c r="Z120" s="50">
        <x:v>193790041931.07849</x:v>
      </x:c>
      <x:c r="AA120" s="54">
        <x:f t="shared" si="87"/>
        <x:v>25.990041151858346</x:v>
      </x:c>
      <x:c r="AB120" s="54">
        <x:f t="shared" si="95"/>
        <x:v>1.8448918416595461E-2</x:v>
      </x:c>
      <x:c r="AC120" s="54">
        <x:f t="shared" si="103"/>
        <x:v>1.5141563771559844E-4</x:v>
      </x:c>
      <x:c r="AD120" s="54">
        <x:f t="shared" si="104"/>
        <x:v>-1.2896397000404538E-2</x:v>
      </x:c>
      <x:c r="AE120" s="55"/>
      <x:c r="AF120" s="47">
        <x:v>45443</x:v>
      </x:c>
      <x:c r="AG120" s="50">
        <x:v>34664193979.7435</x:v>
      </x:c>
      <x:c r="AH120" s="54">
        <x:f t="shared" si="88"/>
        <x:v>24.268973117368347</x:v>
      </x:c>
      <x:c r="AI120" s="54">
        <x:f t="shared" si="96"/>
        <x:v>7.2334572898004268E-2</x:v>
      </x:c>
      <x:c r="AJ120" s="54">
        <x:f t="shared" si="107"/>
        <x:v>4.3875409395547071E-2</x:v>
      </x:c>
      <x:c r="AK120" s="54">
        <x:f t="shared" si="97"/>
        <x:v>6.9260572898004247E-2</x:v>
      </x:c>
      <x:c r="AL120" s="55">
        <x:f t="shared" si="89"/>
        <x:v>4.1947280421947786E-2</x:v>
      </x:c>
      <x:c r="AM120" s="47">
        <x:v>45443</x:v>
      </x:c>
      <x:c r="AN120" s="50">
        <x:v>419943971599.88397</x:v>
      </x:c>
      <x:c r="AO120" s="54">
        <x:f t="shared" si="90"/>
        <x:v>26.763387138372469</x:v>
      </x:c>
      <x:c r="AP120" s="54">
        <x:f t="shared" si="98"/>
        <x:v>3.4048351104836172E-3</x:v>
      </x:c>
      <x:c r="AQ120" s="54">
        <x:f t="shared" si="105"/>
        <x:v>-2.8382315100116346E-3</x:v>
      </x:c>
      <x:c r="AR120" s="55">
        <x:f t="shared" si="106"/>
        <x:v>2.9857506174836169E-3</x:v>
      </x:c>
    </x:row>
    <x:row r="121">
      <x:c r="B121" s="47">
        <x:v>45473</x:v>
      </x:c>
      <x:c r="C121" s="50">
        <x:v>312226925462.55328</x:v>
      </x:c>
      <x:c r="D121" s="54">
        <x:f t="shared" si="84"/>
        <x:v>26.466996085583592</x:v>
      </x:c>
      <x:c r="E121" s="54">
        <x:f t="shared" si="91"/>
        <x:v>0.1447261855542159</x:v>
      </x:c>
      <x:c r="F121" s="54">
        <x:f t="shared" si="99"/>
        <x:v>9.9740680784996996E-2</x:v>
      </x:c>
      <x:c r="G121" s="54">
        <x:f t="shared" si="100"/>
        <x:v>0.13191518555421591</x:v>
      </x:c>
      <x:c r="H121" s="55"/>
      <x:c r="J121" s="47">
        <x:v>45473</x:v>
      </x:c>
      <x:c r="K121" s="50">
        <x:v>275123553.25</x:v>
      </x:c>
      <x:c r="L121" s="54">
        <x:f t="shared" si="85"/>
        <x:v>-1.2905349976681926</x:v>
      </x:c>
      <x:c r="M121" s="54">
        <x:f t="shared" si="92"/>
        <x:v>-3.2069928049863528E-2</x:v>
      </x:c>
      <x:c r="N121" s="54">
        <x:f t="shared" si="108"/>
        <x:v>1.3872429904697003E-2</x:v>
      </x:c>
      <x:c r="O121" s="54">
        <x:f t="shared" si="109"/>
        <x:v>-3.2069928049863528E-2</x:v>
      </x:c>
      <x:c r="P121" s="55">
        <x:f t="shared" si="110"/>
        <x:v>0</x:v>
      </x:c>
      <x:c r="R121" s="47">
        <x:v>45473</x:v>
      </x:c>
      <x:c r="S121" s="50">
        <x:v>155545783.75</x:v>
      </x:c>
      <x:c r="T121" s="54">
        <x:f t="shared" si="86"/>
        <x:v>-1.8608151614381867</x:v>
      </x:c>
      <x:c r="U121" s="54">
        <x:f t="shared" si="93"/>
        <x:v>-3.1584035659539822E-3</x:v>
      </x:c>
      <x:c r="V121" s="54">
        <x:f t="shared" si="101"/>
        <x:v>-0.84540227632701026</x:v>
      </x:c>
      <x:c r="W121" s="54">
        <x:f t="shared" si="94"/>
        <x:v>-1.5331053565953982E-2</x:v>
      </x:c>
      <x:c r="X121" s="55">
        <x:f t="shared" si="102"/>
        <x:v>0</x:v>
      </x:c>
      <x:c r="Y121" s="47">
        <x:v>45473</x:v>
      </x:c>
      <x:c r="Z121" s="50">
        <x:v>199101310671.63101</x:v>
      </x:c>
      <x:c r="AA121" s="54">
        <x:f t="shared" si="87"/>
        <x:v>26.017079630976465</x:v>
      </x:c>
      <x:c r="AB121" s="54">
        <x:f t="shared" si="95"/>
        <x:v>2.703847911811863E-2</x:v>
      </x:c>
      <x:c r="AC121" s="54">
        <x:f t="shared" si="103"/>
        <x:v>1.8789822889970813E-2</x:v>
      </x:c>
      <x:c r="AD121" s="54">
        <x:f t="shared" si="104"/>
        <x:v>-4.3068362988813672E-3</x:v>
      </x:c>
      <x:c r="AE121" s="55"/>
      <x:c r="AF121" s="47">
        <x:v>45473</x:v>
      </x:c>
      <x:c r="AG121" s="50">
        <x:v>36445376833.337204</x:v>
      </x:c>
      <x:c r="AH121" s="54">
        <x:f t="shared" si="88"/>
        <x:v>24.319080451508643</x:v>
      </x:c>
      <x:c r="AI121" s="54">
        <x:f t="shared" si="96"/>
        <x:v>5.0107334140296445E-2</x:v>
      </x:c>
      <x:c r="AJ121" s="54">
        <x:f t="shared" si="107"/>
        <x:v>3.5446740924910763E-2</x:v>
      </x:c>
      <x:c r="AK121" s="54">
        <x:f t="shared" si="97"/>
        <x:v>4.7033334140296479E-2</x:v>
      </x:c>
      <x:c r="AL121" s="55">
        <x:f t="shared" si="89"/>
        <x:v>8.8980614562244265E-2</x:v>
      </x:c>
      <x:c r="AM121" s="47">
        <x:v>45473</x:v>
      </x:c>
      <x:c r="AN121" s="50">
        <x:v>422156419531.68097</x:v>
      </x:c>
      <x:c r="AO121" s="54">
        <x:f t="shared" si="90"/>
        <x:v>26.768641744701434</x:v>
      </x:c>
      <x:c r="AP121" s="54">
        <x:f t="shared" si="98"/>
        <x:v>5.2546063289646838E-3</x:v>
      </x:c>
      <x:c r="AQ121" s="54">
        <x:f t="shared" si="105"/>
        <x:v>3.7889999786477526E-3</x:v>
      </x:c>
      <x:c r="AR121" s="55">
        <x:f t="shared" si="106"/>
        <x:v>4.8355218359646835E-3</x:v>
      </x:c>
    </x:row>
    <x:row r="122">
      <x:c r="B122" s="47">
        <x:v>45504</x:v>
      </x:c>
      <x:c r="C122" s="50">
        <x:v>292740960513.42212</x:v>
      </x:c>
      <x:c r="D122" s="54">
        <x:f t="shared" si="84"/>
        <x:v>26.402553961111202</x:v>
      </x:c>
      <x:c r="E122" s="54">
        <x:f t="shared" si="91"/>
        <x:v>-6.4442124472389395E-2</x:v>
      </x:c>
      <x:c r="F122" s="54">
        <x:f t="shared" si="99"/>
        <x:v>-4.4194435987595565E-2</x:v>
      </x:c>
      <x:c r="G122" s="54">
        <x:f t="shared" si="100"/>
        <x:v>-7.7253124472389398E-2</x:v>
      </x:c>
      <x:c r="H122" s="55"/>
      <x:c r="J122" s="47">
        <x:v>45504</x:v>
      </x:c>
      <x:c r="K122" s="50">
        <x:v>291006981.25</x:v>
      </x:c>
      <x:c r="L122" s="54">
        <x:f t="shared" si="85"/>
        <x:v>-1.2344080215485849</x:v>
      </x:c>
      <x:c r="M122" s="54">
        <x:f t="shared" si="92"/>
        <x:v>5.6126976119607708E-2</x:v>
      </x:c>
      <x:c r="N122" s="54">
        <x:f t="shared" si="108"/>
        <x:v>0.19990487768965681</x:v>
      </x:c>
      <x:c r="O122" s="54">
        <x:f t="shared" si="109"/>
        <x:v>5.6126976119607701E-2</x:v>
      </x:c>
      <x:c r="P122" s="55">
        <x:f t="shared" si="110"/>
        <x:v>0</x:v>
      </x:c>
      <x:c r="R122" s="47">
        <x:v>45504</x:v>
      </x:c>
      <x:c r="S122" s="50">
        <x:v>94311233.75</x:v>
      </x:c>
      <x:c r="T122" s="54">
        <x:f t="shared" si="86"/>
        <x:v>-2.361154968654207</x:v>
      </x:c>
      <x:c r="U122" s="54">
        <x:f t="shared" si="93"/>
        <x:v>-0.50033980721602034</x:v>
      </x:c>
      <x:c r="V122" s="54">
        <x:f t="shared" si="101"/>
        <x:v>-1.3570539785568065</x:v>
      </x:c>
      <x:c r="W122" s="54">
        <x:f t="shared" si="94"/>
        <x:v>-0.51251245721602035</x:v>
      </x:c>
      <x:c r="X122" s="55">
        <x:f t="shared" si="102"/>
        <x:v>0</x:v>
      </x:c>
      <x:c r="Y122" s="47">
        <x:v>45504</x:v>
      </x:c>
      <x:c r="Z122" s="50">
        <x:v>194570736833.41949</x:v>
      </x:c>
      <x:c r="AA122" s="54">
        <x:f t="shared" si="87"/>
        <x:v>25.994061619406232</x:v>
      </x:c>
      <x:c r="AB122" s="54">
        <x:f t="shared" si="95"/>
        <x:v>-2.3018011570233199E-2</x:v>
      </x:c>
      <x:c r="AC122" s="54">
        <x:f t="shared" si="103"/>
        <x:v>-3.0582505253411094E-2</x:v>
      </x:c>
      <x:c r="AD122" s="54">
        <x:f t="shared" si="104"/>
        <x:v>-5.4363326987233195E-2</x:v>
      </x:c>
      <x:c r="AE122" s="55"/>
      <x:c r="AF122" s="47">
        <x:v>45504</x:v>
      </x:c>
      <x:c r="AG122" s="50">
        <x:v>36748893015.688599</x:v>
      </x:c>
      <x:c r="AH122" s="54">
        <x:f t="shared" si="88"/>
        <x:v>24.327373940129501</x:v>
      </x:c>
      <x:c r="AI122" s="54">
        <x:f t="shared" si="96"/>
        <x:v>8.2934886208576586E-3</x:v>
      </x:c>
      <x:c r="AJ122" s="54">
        <x:f t="shared" si="107"/>
        <x:v>3.820007156292422E-3</x:v>
      </x:c>
      <x:c r="AK122" s="54">
        <x:f t="shared" si="97"/>
        <x:v>5.2194886208576374E-3</x:v>
      </x:c>
      <x:c r="AL122" s="55">
        <x:f t="shared" si="89"/>
        <x:v>9.4200103183101902E-2</x:v>
      </x:c>
      <x:c r="AM122" s="47">
        <x:v>45504</x:v>
      </x:c>
      <x:c r="AN122" s="50">
        <x:v>430779997852.33099</x:v>
      </x:c>
      <x:c r="AO122" s="54">
        <x:f t="shared" si="90"/>
        <x:v>26.788863350910084</x:v>
      </x:c>
      <x:c r="AP122" s="54">
        <x:f t="shared" si="98"/>
        <x:v>2.0221606208650655E-2</x:v>
      </x:c>
      <x:c r="AQ122" s="54">
        <x:f t="shared" si="105"/>
        <x:v>6.9783742229079619E-3</x:v>
      </x:c>
      <x:c r="AR122" s="55">
        <x:f t="shared" si="106"/>
        <x:v>1.980252171565066E-2</x:v>
      </x:c>
    </x:row>
    <x:row r="123">
      <x:c r="B123" s="47">
        <x:v>45535</x:v>
      </x:c>
      <x:c r="C123" s="50">
        <x:v>308397276042.37988</x:v>
      </x:c>
      <x:c r="D123" s="54">
        <x:f t="shared" si="84"/>
        <x:v>26.454654646049171</x:v>
      </x:c>
      <x:c r="E123" s="54">
        <x:f t="shared" si="91"/>
        <x:v>5.2100684937968822E-2</x:v>
      </x:c>
      <x:c r="F123" s="54">
        <x:f t="shared" si="99"/>
        <x:v>4.3124723829024963E-2</x:v>
      </x:c>
      <x:c r="G123" s="54">
        <x:f t="shared" si="100"/>
        <x:v>3.9289684937968819E-2</x:v>
      </x:c>
      <x:c r="H123" s="55"/>
      <x:c r="J123" s="47">
        <x:v>45535</x:v>
      </x:c>
      <x:c r="K123" s="50">
        <x:v>594170443.25</x:v>
      </x:c>
      <x:c r="L123" s="54">
        <x:f t="shared" si="85"/>
        <x:v>-0.52058905928101384</x:v>
      </x:c>
      <x:c r="M123" s="54">
        <x:f t="shared" si="92"/>
        <x:v>0.71381896226757102</x:v>
      </x:c>
      <x:c r="N123" s="54">
        <x:f t="shared" si="108"/>
        <x:v>0.2356287864852222</x:v>
      </x:c>
      <x:c r="O123" s="54">
        <x:f t="shared" si="109"/>
        <x:v>0.71381896226757102</x:v>
      </x:c>
      <x:c r="P123" s="55">
        <x:f t="shared" si="110"/>
        <x:v>0</x:v>
      </x:c>
      <x:c r="R123" s="47">
        <x:v>45535</x:v>
      </x:c>
      <x:c r="S123" s="50">
        <x:v>97697790.75</x:v>
      </x:c>
      <x:c r="T123" s="54">
        <x:f t="shared" si="86"/>
        <x:v>-2.3258763327786283</x:v>
      </x:c>
      <x:c r="U123" s="54">
        <x:f t="shared" si="93"/>
        <x:v>3.5278635875578779E-2</x:v>
      </x:c>
      <x:c r="V123" s="54">
        <x:f t="shared" si="101"/>
        <x:v>-1.1975911355303566</x:v>
      </x:c>
      <x:c r="W123" s="54">
        <x:f t="shared" si="94"/>
        <x:v>2.3105985875578779E-2</x:v>
      </x:c>
      <x:c r="X123" s="55">
        <x:f t="shared" si="102"/>
        <x:v>0</x:v>
      </x:c>
      <x:c r="Y123" s="47">
        <x:v>45535</x:v>
      </x:c>
      <x:c r="Z123" s="50">
        <x:v>199365931794.0625</x:v>
      </x:c>
      <x:c r="AA123" s="54">
        <x:f t="shared" si="87"/>
        <x:v>26.018407826286552</x:v>
      </x:c>
      <x:c r="AB123" s="54">
        <x:f t="shared" si="95"/>
        <x:v>2.4346206880320409E-2</x:v>
      </x:c>
      <x:c r="AC123" s="54">
        <x:f t="shared" si="103"/>
        <x:v>-5.1875942904075455E-3</x:v>
      </x:c>
      <x:c r="AD123" s="54">
        <x:f t="shared" si="104"/>
        <x:v>-6.9991085366795831E-3</x:v>
      </x:c>
      <x:c r="AE123" s="55"/>
      <x:c r="AF123" s="47">
        <x:v>45535</x:v>
      </x:c>
      <x:c r="AG123" s="50">
        <x:v>31565306009.34</x:v>
      </x:c>
      <x:c r="AH123" s="54">
        <x:f t="shared" si="88"/>
        <x:v>24.175324443296546</x:v>
      </x:c>
      <x:c r="AI123" s="54">
        <x:f t="shared" si="96"/>
        <x:v>-0.1520494968329551</x:v>
      </x:c>
      <x:c r="AJ123" s="54">
        <x:f t="shared" si="107"/>
        <x:v>-2.232847763177831E-2</x:v>
      </x:c>
      <x:c r="AK123" s="54">
        <x:f t="shared" si="97"/>
        <x:v>-0.15512349683295512</x:v>
      </x:c>
      <x:c r="AL123" s="55">
        <x:f t="shared" si="89"/>
        <x:v>-6.0923393649853219E-2</x:v>
      </x:c>
      <x:c r="AM123" s="47">
        <x:v>45535</x:v>
      </x:c>
      <x:c r="AN123" s="50">
        <x:v>432302327591.81201</x:v>
      </x:c>
      <x:c r="AO123" s="54">
        <x:f t="shared" si="90"/>
        <x:v>26.79239101281048</x:v>
      </x:c>
      <x:c r="AP123" s="54">
        <x:f t="shared" si="98"/>
        <x:v>3.5276619003958842E-3</x:v>
      </x:c>
      <x:c r="AQ123" s="54">
        <x:f t="shared" si="105"/>
        <x:v>6.6005429860101147E-3</x:v>
      </x:c>
      <x:c r="AR123" s="55">
        <x:f t="shared" si="106"/>
        <x:v>3.1085774073958839E-3</x:v>
      </x:c>
    </x:row>
    <x:row r="124">
      <x:c r="B124" s="47">
        <x:v>45565</x:v>
      </x:c>
      <x:c r="C124" s="50">
        <x:v>290331478293.44501</x:v>
      </x:c>
      <x:c r="D124" s="54">
        <x:f t="shared" si="84"/>
        <x:v>26.394289135765199</x:v>
      </x:c>
      <x:c r="E124" s="54">
        <x:f t="shared" si="91"/>
        <x:v>-6.0365510283972412E-2</x:v>
      </x:c>
      <x:c r="F124" s="54">
        <x:f t="shared" si="99"/>
        <x:v>-6.5946582297866402E-2</x:v>
      </x:c>
      <x:c r="G124" s="54">
        <x:f t="shared" si="100"/>
        <x:v>-7.3176510283972429E-2</x:v>
      </x:c>
      <x:c r="H124" s="55"/>
      <x:c r="J124" s="47">
        <x:v>45565</x:v>
      </x:c>
      <x:c r="K124" s="50">
        <x:v>1021615238.25</x:v>
      </x:c>
      <x:c r="L124" s="54">
        <x:f t="shared" si="85"/>
        <x:v>2.1384941687987387E-2</x:v>
      </x:c>
      <x:c r="M124" s="54">
        <x:f t="shared" si="92"/>
        <x:v>0.54197400096900128</x:v>
      </x:c>
      <x:c r="N124" s="54">
        <x:f t="shared" si="108"/>
        <x:v>0.59652517761275581</x:v>
      </x:c>
      <x:c r="O124" s="54">
        <x:f t="shared" si="109"/>
        <x:v>0.54197400096900139</x:v>
      </x:c>
      <x:c r="P124" s="55">
        <x:f t="shared" si="110"/>
        <x:v>0</x:v>
      </x:c>
      <x:c r="R124" s="47">
        <x:v>45565</x:v>
      </x:c>
      <x:c r="S124" s="50">
        <x:v>265958434.75</x:v>
      </x:c>
      <x:c r="T124" s="54">
        <x:f t="shared" si="86"/>
        <x:v>-1.3244152427487026</x:v>
      </x:c>
      <x:c r="U124" s="54">
        <x:f t="shared" si="93"/>
        <x:v>1.0014610900299257</x:v>
      </x:c>
      <x:c r="V124" s="54">
        <x:f t="shared" si="101"/>
        <x:v>-0.21791712921764861</x:v>
      </x:c>
      <x:c r="W124" s="54">
        <x:f t="shared" si="94"/>
        <x:v>0.98928844002992566</x:v>
      </x:c>
      <x:c r="X124" s="55">
        <x:f t="shared" si="102"/>
        <x:v>0</x:v>
      </x:c>
      <x:c r="Y124" s="47">
        <x:v>45565</x:v>
      </x:c>
      <x:c r="Z124" s="50">
        <x:v>194866902396.45999</x:v>
      </x:c>
      <x:c r="AA124" s="54">
        <x:f t="shared" si="87"/>
        <x:v>25.995582610652594</x:v>
      </x:c>
      <x:c r="AB124" s="54">
        <x:f t="shared" si="95"/>
        <x:v>-2.2825215633957896E-2</x:v>
      </x:c>
      <x:c r="AC124" s="54">
        <x:f t="shared" si="103"/>
        <x:v>-3.017823904017547E-2</x:v>
      </x:c>
      <x:c r="AD124" s="54">
        <x:f t="shared" si="104"/>
        <x:v>-5.4170531050957899E-2</x:v>
      </x:c>
      <x:c r="AE124" s="55"/>
      <x:c r="AF124" s="47">
        <x:v>45565</x:v>
      </x:c>
      <x:c r="AG124" s="50">
        <x:v>32946938492.754799</x:v>
      </x:c>
      <x:c r="AH124" s="54">
        <x:f t="shared" si="88"/>
        <x:v>24.218164179852984</x:v>
      </x:c>
      <x:c r="AI124" s="54">
        <x:f t="shared" si="96"/>
        <x:v>4.2839736556437913E-2</x:v>
      </x:c>
      <x:c r="AJ124" s="54">
        <x:f t="shared" si="107"/>
        <x:v>2.2710104255246825E-2</x:v>
      </x:c>
      <x:c r="AK124" s="54">
        <x:f t="shared" si="97"/>
        <x:v>3.9765736556437947E-2</x:v>
      </x:c>
      <x:c r="AL124" s="55">
        <x:f t="shared" si="89"/>
        <x:v>-2.1157657093415272E-2</x:v>
      </x:c>
      <x:c r="AM124" s="47">
        <x:v>45565</x:v>
      </x:c>
      <x:c r="AN124" s="50">
        <x:v>435350127280.50897</x:v>
      </x:c>
      <x:c r="AO124" s="54">
        <x:f t="shared" si="90"/>
        <x:v>26.799416434584629</x:v>
      </x:c>
      <x:c r="AP124" s="54">
        <x:f t="shared" si="98"/>
        <x:v>7.0254217741485547E-3</x:v>
      </x:c>
      <x:c r="AQ124" s="54">
        <x:f t="shared" si="105"/>
        <x:v>-2.5818119100020137E-3</x:v>
      </x:c>
      <x:c r="AR124" s="55">
        <x:f t="shared" si="106"/>
        <x:v>6.6063372811485561E-3</x:v>
      </x:c>
    </x:row>
    <x:row r="125">
      <x:c r="B125" s="47">
        <x:v>45596</x:v>
      </x:c>
      <x:c r="C125" s="50">
        <x:v>293351722949.33423</x:v>
      </x:c>
      <x:c r="D125" s="54">
        <x:f t="shared" si="84"/>
        <x:v>26.404638145658229</x:v>
      </x:c>
      <x:c r="E125" s="54">
        <x:f t="shared" si="91"/>
        <x:v>1.0349009893030114E-2</x:v>
      </x:c>
      <x:c r="F125" s="54">
        <x:f t="shared" si="99"/>
        <x:v>-1.8568718443726491E-2</x:v>
      </x:c>
      <x:c r="G125" s="54">
        <x:f t="shared" si="100"/>
        <x:v>-2.4619901069698833E-3</x:v>
      </x:c>
      <x:c r="H125" s="55"/>
      <x:c r="J125" s="47">
        <x:v>45596</x:v>
      </x:c>
      <x:c r="K125" s="50">
        <x:v>892696804.25</x:v>
      </x:c>
      <x:c r="L125" s="54">
        <x:f t="shared" si="85"/>
        <x:v>-0.11350828067328558</x:v>
      </x:c>
      <x:c r="M125" s="54">
        <x:f t="shared" si="92"/>
        <x:v>-0.13489322236127296</x:v>
      </x:c>
      <x:c r="N125" s="54">
        <x:f t="shared" si="108"/>
        <x:v>0.17279121350109744</x:v>
      </x:c>
      <x:c r="O125" s="54">
        <x:f t="shared" si="109"/>
        <x:v>-0.13489322236127299</x:v>
      </x:c>
      <x:c r="P125" s="55">
        <x:f t="shared" si="110"/>
        <x:v>0</x:v>
      </x:c>
      <x:c r="R125" s="47">
        <x:v>45596</x:v>
      </x:c>
      <x:c r="S125" s="50">
        <x:v>148192614.75</x:v>
      </x:c>
      <x:c r="T125" s="54">
        <x:f t="shared" si="86"/>
        <x:v>-1.909242400357807</x:v>
      </x:c>
      <x:c r="U125" s="54">
        <x:f t="shared" si="93"/>
        <x:v>-0.58482715760910442</x:v>
      </x:c>
      <x:c r="V125" s="54">
        <x:f t="shared" si="101"/>
        <x:v>-1.0878436255009736</x:v>
      </x:c>
      <x:c r="W125" s="54">
        <x:f t="shared" si="94"/>
        <x:v>-0.59699980760910443</x:v>
      </x:c>
      <x:c r="X125" s="55">
        <x:f t="shared" si="102"/>
        <x:v>0</x:v>
      </x:c>
      <x:c r="Y125" s="47">
        <x:v>45596</x:v>
      </x:c>
      <x:c r="Z125" s="50">
        <x:v>194538480090.22699</x:v>
      </x:c>
      <x:c r="AA125" s="54">
        <x:f t="shared" si="87"/>
        <x:v>25.993895821517803</x:v>
      </x:c>
      <x:c r="AB125" s="54">
        <x:f t="shared" si="95"/>
        <x:v>-1.6867891347907005E-3</x:v>
      </x:c>
      <x:c r="AC125" s="54">
        <x:f t="shared" si="103"/>
        <x:v>-3.8659229867633094E-2</x:v>
      </x:c>
      <x:c r="AD125" s="54">
        <x:f t="shared" si="104"/>
        <x:v>-3.3032104551790696E-2</x:v>
      </x:c>
      <x:c r="AE125" s="55"/>
      <x:c r="AF125" s="47">
        <x:v>45596</x:v>
      </x:c>
      <x:c r="AG125" s="50">
        <x:v>35060734813.967796</x:v>
      </x:c>
      <x:c r="AH125" s="54">
        <x:f t="shared" si="88"/>
        <x:v>24.280347674975367</x:v>
      </x:c>
      <x:c r="AI125" s="54">
        <x:f t="shared" si="96"/>
        <x:v>6.2183495122383192E-2</x:v>
      </x:c>
      <x:c r="AJ125" s="54">
        <x:f t="shared" si="107"/>
        <x:v>2.7652178579088381E-2</x:v>
      </x:c>
      <x:c r="AK125" s="54">
        <x:f t="shared" si="97"/>
        <x:v>5.9109495122383171E-2</x:v>
      </x:c>
      <x:c r="AL125" s="55">
        <x:f t="shared" si="89"/>
        <x:v>3.7951838028967899E-2</x:v>
      </x:c>
      <x:c r="AM125" s="47">
        <x:v>45596</x:v>
      </x:c>
      <x:c r="AN125" s="50">
        <x:v>438990960967.52698</x:v>
      </x:c>
      <x:c r="AO125" s="54">
        <x:f t="shared" si="90"/>
        <x:v>26.807744659758413</x:v>
      </x:c>
      <x:c r="AP125" s="54">
        <x:f t="shared" si="98"/>
        <x:v>8.3282251737841761E-3</x:v>
      </x:c>
      <x:c r="AQ125" s="54">
        <x:f t="shared" si="105"/>
        <x:v>1.7740664307381157E-3</x:v>
      </x:c>
      <x:c r="AR125" s="55">
        <x:f t="shared" si="106"/>
        <x:v>7.9091406807841776E-3</x:v>
      </x:c>
    </x:row>
    <x:row r="126">
      <x:c r="B126" s="47">
        <x:v>45626</x:v>
      </x:c>
      <x:c r="C126" s="50">
        <x:v>286074205552.58051</x:v>
      </x:c>
      <x:c r="D126" s="54">
        <x:f t="shared" si="84"/>
        <x:v>26.379517074086404</x:v>
      </x:c>
      <x:c r="E126" s="54">
        <x:f t="shared" si="91"/>
        <x:v>-2.5121071571824416E-2</x:v>
      </x:c>
      <x:c r="F126" s="54">
        <x:f t="shared" si="99"/>
        <x:v>-5.859326454246494E-2</x:v>
      </x:c>
      <x:c r="G126" s="54">
        <x:f t="shared" si="100"/>
        <x:v>-3.7932071571824419E-2</x:v>
      </x:c>
      <x:c r="H126" s="55"/>
      <x:c r="J126" s="47">
        <x:v>45626</x:v>
      </x:c>
      <x:c r="K126" s="50">
        <x:v>986685704.25</x:v>
      </x:c>
      <x:c r="L126" s="54">
        <x:f t="shared" si="85"/>
        <x:v>-1.3403725670310881E-2</x:v>
      </x:c>
      <x:c r="M126" s="54">
        <x:f t="shared" si="92"/>
        <x:v>0.1001045550029747</x:v>
      </x:c>
      <x:c r="N126" s="54">
        <x:f t="shared" si="108"/>
        <x:v>0.33101696418096183</x:v>
      </x:c>
      <x:c r="O126" s="54">
        <x:f t="shared" si="109"/>
        <x:v>0.10010455500297472</x:v>
      </x:c>
      <x:c r="P126" s="55">
        <x:f t="shared" si="110"/>
        <x:v>0</x:v>
      </x:c>
      <x:c r="R126" s="47">
        <x:v>45626</x:v>
      </x:c>
      <x:c r="S126" s="50">
        <x:v>420631478.75</x:v>
      </x:c>
      <x:c r="T126" s="54">
        <x:f t="shared" si="86"/>
        <x:v>-0.86599817602717333</x:v>
      </x:c>
      <x:c r="U126" s="54">
        <x:f t="shared" si="93"/>
        <x:v>1.0432442243306337</x:v>
      </x:c>
      <x:c r="V126" s="54">
        <x:f t="shared" si="101"/>
        <x:v>0.10261001685213311</x:v>
      </x:c>
      <x:c r="W126" s="54">
        <x:f t="shared" si="94"/>
        <x:v>1.0310715743306338</x:v>
      </x:c>
      <x:c r="X126" s="55">
        <x:f t="shared" si="102"/>
        <x:v>0</x:v>
      </x:c>
      <x:c r="Y126" s="47">
        <x:v>45626</x:v>
      </x:c>
      <x:c r="Z126" s="50">
        <x:v>192809874192.98001</x:v>
      </x:c>
      <x:c r="AA126" s="54">
        <x:f t="shared" si="87"/>
        <x:v>25.984970432505307</x:v>
      </x:c>
      <x:c r="AB126" s="54">
        <x:f t="shared" si="95"/>
        <x:v>-8.9253890124965096E-3</x:v>
      </x:c>
      <x:c r="AC126" s="54">
        <x:f t="shared" si="103"/>
        <x:v>-4.3173418633458194E-2</x:v>
      </x:c>
      <x:c r="AD126" s="54">
        <x:f t="shared" si="104"/>
        <x:v>-4.0270704429496505E-2</x:v>
      </x:c>
      <x:c r="AE126" s="55"/>
      <x:c r="AF126" s="47">
        <x:v>45626</x:v>
      </x:c>
      <x:c r="AG126" s="50">
        <x:v>35682287551.216698</x:v>
      </x:c>
      <x:c r="AH126" s="54">
        <x:f t="shared" si="88"/>
        <x:v>24.297920255585602</x:v>
      </x:c>
      <x:c r="AI126" s="54">
        <x:f t="shared" si="96"/>
        <x:v>1.7572580610234922E-2</x:v>
      </x:c>
      <x:c r="AJ126" s="54">
        <x:f t="shared" si="107"/>
        <x:v>1.0599159316185771E-2</x:v>
      </x:c>
      <x:c r="AK126" s="54">
        <x:f t="shared" si="97"/>
        <x:v>1.4498580610234957E-2</x:v>
      </x:c>
      <x:c r="AL126" s="55">
        <x:f t="shared" si="89"/>
        <x:v>5.2450418639202856E-2</x:v>
      </x:c>
      <x:c r="AM126" s="47">
        <x:v>45626</x:v>
      </x:c>
      <x:c r="AN126" s="50">
        <x:v>441505447076.48901</x:v>
      </x:c>
      <x:c r="AO126" s="54">
        <x:f t="shared" si="90"/>
        <x:v>26.813456194573408</x:v>
      </x:c>
      <x:c r="AP126" s="54">
        <x:f t="shared" si="98"/>
        <x:v>5.7115348149956446E-3</x:v>
      </x:c>
      <x:c r="AQ126" s="54">
        <x:f t="shared" si="105"/>
        <x:v>-1.3468391453053358E-3</x:v>
      </x:c>
      <x:c r="AR126" s="55">
        <x:f t="shared" si="106"/>
        <x:v>5.2924503219956452E-3</x:v>
      </x:c>
    </x:row>
    <x:row r="127">
      <x:c r="B127" s="47">
        <x:v>45657</x:v>
      </x:c>
      <x:c r="C127" s="50">
        <x:v>348351972059.79785</x:v>
      </x:c>
      <x:c r="D127" s="54">
        <x:f t="shared" si="84"/>
        <x:v>26.576479219551334</x:v>
      </x:c>
      <x:c r="E127" s="54">
        <x:f t="shared" si="91"/>
        <x:v>0.19696214546492996</x:v>
      </x:c>
      <x:c r="F127" s="54">
        <x:f t="shared" si="99"/>
        <x:v>0.1580932631563407</x:v>
      </x:c>
      <x:c r="G127" s="54">
        <x:f t="shared" si="100"/>
        <x:v>0.18415114546492997</x:v>
      </x:c>
      <x:c r="H127" s="55"/>
      <x:c r="J127" s="47">
        <x:v>45657</x:v>
      </x:c>
      <x:c r="K127" s="50">
        <x:v>948154271.33749998</x:v>
      </x:c>
      <x:c r="L127" s="54">
        <x:f t="shared" si="85"/>
        <x:v>-5.3238056488395913E-2</x:v>
      </x:c>
      <x:c r="M127" s="54">
        <x:f t="shared" si="92"/>
        <x:v>-3.9834330818085031E-2</x:v>
      </x:c>
      <x:c r="N127" s="54">
        <x:f t="shared" si="108"/>
        <x:v>0.87706935814823961</x:v>
      </x:c>
      <x:c r="O127" s="54">
        <x:f t="shared" si="109"/>
        <x:v>-3.9834330818084962E-2</x:v>
      </x:c>
      <x:c r="P127" s="55">
        <x:f t="shared" si="110"/>
        <x:v>-6.9388939039072284E-17</x:v>
      </x:c>
      <x:c r="R127" s="47">
        <x:v>45657</x:v>
      </x:c>
      <x:c r="S127" s="50">
        <x:v>109058539.75</x:v>
      </x:c>
      <x:c r="T127" s="54">
        <x:f t="shared" si="86"/>
        <x:v>-2.2158704789925294</x:v>
      </x:c>
      <x:c r="U127" s="54">
        <x:f t="shared" si="93"/>
        <x:v>-1.3498723029653561</x:v>
      </x:c>
      <x:c r="V127" s="54">
        <x:f t="shared" si="101"/>
        <x:v>-1.5437487197037141</x:v>
      </x:c>
      <x:c r="W127" s="54">
        <x:f t="shared" si="94"/>
        <x:v>-1.362044952965356</x:v>
      </x:c>
      <x:c r="X127" s="55">
        <x:f t="shared" si="102"/>
        <x:v>0</x:v>
      </x:c>
      <x:c r="Y127" s="47">
        <x:v>45657</x:v>
      </x:c>
      <x:c r="Z127" s="50">
        <x:v>198828409902.06299</x:v>
      </x:c>
      <x:c r="AA127" s="54">
        <x:f t="shared" si="87"/>
        <x:v>26.015708027910687</x:v>
      </x:c>
      <x:c r="AB127" s="54">
        <x:f t="shared" si="95"/>
        <x:v>3.0737595405380347E-2</x:v>
      </x:c>
      <x:c r="AC127" s="54">
        <x:f t="shared" si="103"/>
        <x:v>1.7759720335268001E-4</x:v>
      </x:c>
      <x:c r="AD127" s="54">
        <x:f t="shared" si="104"/>
        <x:v>-6.0772001161964878E-4</x:v>
      </x:c>
      <x:c r="AE127" s="55"/>
      <x:c r="AF127" s="47">
        <x:v>45657</x:v>
      </x:c>
      <x:c r="AG127" s="50">
        <x:v>33847555381.2397</x:v>
      </x:c>
      <x:c r="AH127" s="54">
        <x:f t="shared" si="88"/>
        <x:v>24.245132614531027</x:v>
      </x:c>
      <x:c r="AI127" s="54">
        <x:f t="shared" si="96"/>
        <x:v>-5.2787641054575118E-2</x:v>
      </x:c>
      <x:c r="AJ127" s="54">
        <x:f t="shared" si="107"/>
        <x:v>4.5479796702457165E-2</x:v>
      </x:c>
      <x:c r="AK127" s="54">
        <x:f t="shared" si="97"/>
        <x:v>-5.586164105457514E-2</x:v>
      </x:c>
      <x:c r="AL127" s="55">
        <x:f t="shared" si="89"/>
        <x:v>-3.4112224153722837E-3</x:v>
      </x:c>
      <x:c r="AM127" s="47">
        <x:v>45657</x:v>
      </x:c>
      <x:c r="AN127" s="50">
        <x:v>451507860420.19397</x:v>
      </x:c>
      <x:c r="AO127" s="54">
        <x:f t="shared" si="90"/>
        <x:v>26.835858619220442</x:v>
      </x:c>
      <x:c r="AP127" s="54">
        <x:f t="shared" si="98"/>
        <x:v>2.240242464703357E-2</x:v>
      </x:c>
      <x:c r="AQ127" s="54">
        <x:f t="shared" si="105"/>
        <x:v>3.889595395737913E-3</x:v>
      </x:c>
      <x:c r="AR127" s="55">
        <x:f t="shared" si="106"/>
        <x:v>2.1983340154033571E-2</x:v>
      </x:c>
    </x:row>
    <x:row r="128">
      <x:c r="B128" s="47">
        <x:v>45688</x:v>
      </x:c>
      <x:c r="C128" s="50">
        <x:v>319253250150.974</x:v>
      </x:c>
      <x:c r="D128" s="54">
        <x:f t="shared" si="84"/>
        <x:v>26.489250512389773</x:v>
      </x:c>
      <x:c r="E128" s="54">
        <x:f t="shared" si="91"/>
        <x:v>-8.7228707161560948E-2</x:v>
      </x:c>
      <x:c r="F128" s="54">
        <x:f t="shared" si="99"/>
        <x:v>-5.21778554992317E-2</x:v>
      </x:c>
      <x:c r="G128" s="54">
        <x:f t="shared" si="100"/>
        <x:v>-0.10003970716156094</x:v>
      </x:c>
      <x:c r="H128" s="55"/>
      <x:c r="J128" s="47">
        <x:v>45688</x:v>
      </x:c>
      <x:c r="K128" s="50">
        <x:v>102868004.33750001</x:v>
      </x:c>
      <x:c r="L128" s="54">
        <x:f t="shared" si="85"/>
        <x:v>-2.2743086238767023</x:v>
      </x:c>
      <x:c r="M128" s="54">
        <x:f t="shared" si="92"/>
        <x:v>-2.2210705673883062</x:v>
      </x:c>
      <x:c r="N128" s="54">
        <x:f t="shared" si="108"/>
        <x:v>-1.8511417561175474</x:v>
      </x:c>
      <x:c r="O128" s="54">
        <x:f t="shared" si="109"/>
        <x:v>-2.2210705673883058</x:v>
      </x:c>
      <x:c r="P128" s="55">
        <x:f t="shared" si="110"/>
        <x:v>0</x:v>
      </x:c>
      <x:c r="R128" s="47">
        <x:v>45688</x:v>
      </x:c>
      <x:c r="S128" s="50">
        <x:v>128860805.75</x:v>
      </x:c>
      <x:c r="T128" s="54">
        <x:f t="shared" si="86"/>
        <x:v>-2.049022482381055</x:v>
      </x:c>
      <x:c r="U128" s="54">
        <x:f t="shared" si="93"/>
        <x:v>0.16684799661147443</x:v>
      </x:c>
      <x:c r="V128" s="54">
        <x:f t="shared" si="101"/>
        <x:v>-1.0211946991735457</x:v>
      </x:c>
      <x:c r="W128" s="54">
        <x:f t="shared" si="94"/>
        <x:v>0.15467534661147442</x:v>
      </x:c>
      <x:c r="X128" s="55">
        <x:f t="shared" si="102"/>
        <x:v>0</x:v>
      </x:c>
      <x:c r="Y128" s="47">
        <x:v>45688</x:v>
      </x:c>
      <x:c r="Z128" s="50">
        <x:v>204996999764.73801</x:v>
      </x:c>
      <x:c r="AA128" s="54">
        <x:f t="shared" si="87"/>
        <x:v>26.046261180683761</x:v>
      </x:c>
      <x:c r="AB128" s="54">
        <x:f t="shared" si="95"/>
        <x:v>3.0553152773073577E-2</x:v>
      </x:c>
      <x:c r="AC128" s="54">
        <x:f t="shared" si="103"/>
        <x:v>1.1260484689192194E-2</x:v>
      </x:c>
      <x:c r="AD128" s="54">
        <x:f t="shared" si="104"/>
        <x:v>-7.9216264392642163E-4</x:v>
      </x:c>
      <x:c r="AE128" s="55"/>
      <x:c r="AF128" s="47">
        <x:v>45688</x:v>
      </x:c>
      <x:c r="AG128" s="50">
        <x:v>37249035801.682602</x:v>
      </x:c>
      <x:c r="AH128" s="54">
        <x:f t="shared" si="88"/>
        <x:v>24.340891896918382</x:v>
      </x:c>
      <x:c r="AI128" s="54">
        <x:f t="shared" si="96"/>
        <x:v>9.5759282387355427E-2</x:v>
      </x:c>
      <x:c r="AJ128" s="54">
        <x:f t="shared" si="107"/>
        <x:v>7.6897993900219661E-2</x:v>
      </x:c>
      <x:c r="AK128" s="54">
        <x:f t="shared" si="97"/>
        <x:v>9.2685282387355405E-2</x:v>
      </x:c>
      <x:c r="AL128" s="55">
        <x:f t="shared" si="89"/>
        <x:v>8.9274059971983122E-2</x:v>
      </x:c>
      <x:c r="AM128" s="47">
        <x:v>45688</x:v>
      </x:c>
      <x:c r="AN128" s="50">
        <x:v>460682479404.966</x:v>
      </x:c>
      <x:c r="AO128" s="54">
        <x:f t="shared" si="90"/>
        <x:v>26.85597487778735</x:v>
      </x:c>
      <x:c r="AP128" s="54">
        <x:f t="shared" si="98"/>
        <x:v>2.011625856690813E-2</x:v>
      </x:c>
      <x:c r="AQ128" s="54">
        <x:f t="shared" si="105"/>
        <x:v>1.2030220755891085E-3</x:v>
      </x:c>
      <x:c r="AR128" s="55">
        <x:f t="shared" si="106"/>
        <x:v>1.9697174073908131E-2</x:v>
      </x:c>
    </x:row>
    <x:row r="129">
      <x:c r="B129" s="47">
        <x:v>45716</x:v>
      </x:c>
      <x:c r="C129" s="50">
        <x:v>326474078875.44147</x:v>
      </x:c>
      <x:c r="D129" s="54">
        <x:f t="shared" si="84"/>
        <x:v>26.511616391624418</x:v>
      </x:c>
      <x:c r="E129" s="54">
        <x:f t="shared" si="91"/>
        <x:v>2.2365879234644837E-2</x:v>
      </x:c>
      <x:c r="F129" s="54">
        <x:f t="shared" si="99"/>
        <x:v>2.241217551766719E-2</x:v>
      </x:c>
      <x:c r="G129" s="54">
        <x:f t="shared" si="100"/>
        <x:v>9.5548792346448336E-3</x:v>
      </x:c>
      <x:c r="H129" s="55"/>
      <x:c r="J129" s="47">
        <x:v>45716</x:v>
      </x:c>
      <x:c r="K129" s="50">
        <x:v>45271375.337499999</x:v>
      </x:c>
      <x:c r="L129" s="54">
        <x:f t="shared" si="85"/>
        <x:v>-3.0950803372248261</x:v>
      </x:c>
      <x:c r="M129" s="54">
        <x:f t="shared" si="92"/>
        <x:v>-0.82077171334812382</x:v>
      </x:c>
      <x:c r="N129" s="54">
        <x:f t="shared" si="108"/>
        <x:v>-1.2513104079243491</x:v>
      </x:c>
      <x:c r="O129" s="54">
        <x:f t="shared" si="109"/>
        <x:v>-0.82077171334812404</x:v>
      </x:c>
      <x:c r="P129" s="55">
        <x:f t="shared" si="110"/>
        <x:v>0</x:v>
      </x:c>
      <x:c r="R129" s="47">
        <x:v>45716</x:v>
      </x:c>
      <x:c r="S129" s="50">
        <x:v>111035739.75</x:v>
      </x:c>
      <x:c r="T129" s="54">
        <x:f t="shared" si="86"/>
        <x:v>-2.1979031497644224</x:v>
      </x:c>
      <x:c r="U129" s="54">
        <x:f t="shared" si="93"/>
        <x:v>-0.14888066738336736</x:v>
      </x:c>
      <x:c r="V129" s="54">
        <x:f t="shared" si="101"/>
        <x:v>-1.2277188508014432</x:v>
      </x:c>
      <x:c r="W129" s="54">
        <x:f t="shared" si="94"/>
        <x:v>-0.16105331738336737</x:v>
      </x:c>
      <x:c r="X129" s="55">
        <x:f t="shared" si="102"/>
        <x:v>0</x:v>
      </x:c>
      <x:c r="Y129" s="47">
        <x:v>45716</x:v>
      </x:c>
      <x:c r="Z129" s="50">
        <x:v>213858054539.60599</x:v>
      </x:c>
      <x:c r="AA129" s="54">
        <x:f t="shared" si="87"/>
        <x:v>26.08857833534589</x:v>
      </x:c>
      <x:c r="AB129" s="54">
        <x:f t="shared" si="95"/>
        <x:v>4.2317154662129042E-2</x:v>
      </x:c>
      <x:c r="AC129" s="54">
        <x:f t="shared" si="103"/>
        <x:v>2.9121005220780476E-2</x:v>
      </x:c>
      <x:c r="AD129" s="54">
        <x:f t="shared" si="104"/>
        <x:v>1.097183924512905E-2</x:v>
      </x:c>
      <x:c r="AE129" s="55"/>
      <x:c r="AF129" s="47">
        <x:v>45716</x:v>
      </x:c>
      <x:c r="AG129" s="50">
        <x:v>36797828925.689903</x:v>
      </x:c>
      <x:c r="AH129" s="54">
        <x:f t="shared" si="88"/>
        <x:v>24.328704683796417</x:v>
      </x:c>
      <x:c r="AI129" s="54">
        <x:f t="shared" si="96"/>
        <x:v>-1.2187213121965357E-2</x:v>
      </x:c>
      <x:c r="AJ129" s="54">
        <x:f t="shared" si="107"/>
        <x:v>-2.581666891574852E-2</x:v>
      </x:c>
      <x:c r="AK129" s="54">
        <x:f t="shared" si="97"/>
        <x:v>-1.5261213121965322E-2</x:v>
      </x:c>
      <x:c r="AL129" s="55">
        <x:f t="shared" si="89"/>
        <x:v>7.4012846850017799E-2</x:v>
      </x:c>
      <x:c r="AM129" s="47">
        <x:v>45716</x:v>
      </x:c>
      <x:c r="AN129" s="50">
        <x:v>470371618214.01099</x:v>
      </x:c>
      <x:c r="AO129" s="54">
        <x:f t="shared" si="90"/>
        <x:v>26.876788896281173</x:v>
      </x:c>
      <x:c r="AP129" s="54">
        <x:f t="shared" si="98"/>
        <x:v>2.0814018493823028E-2</x:v>
      </x:c>
      <x:c r="AQ129" s="54">
        <x:f t="shared" si="105"/>
        <x:v>1.0694439229425133E-2</x:v>
      </x:c>
      <x:c r="AR129" s="55">
        <x:f t="shared" si="106"/>
        <x:v>2.0394934000823029E-2</x:v>
      </x:c>
    </x:row>
    <x:row r="130">
      <x:c r="B130" s="47">
        <x:v>45747</x:v>
      </x:c>
      <x:c r="C130" s="50">
        <x:v>330039535468.77747</x:v>
      </x:c>
      <x:c r="D130" s="54">
        <x:f t="shared" si="84"/>
        <x:v>26.522478288681796</x:v>
      </x:c>
      <x:c r="E130" s="54">
        <x:f t="shared" si="91"/>
        <x:v>1.0861897057377945E-2</x:v>
      </x:c>
      <x:c r="F130" s="54">
        <x:f t="shared" si="99"/>
        <x:v>-4.2236830056855655E-3</x:v>
      </x:c>
      <x:c r="G130" s="54">
        <x:f t="shared" si="100"/>
        <x:v>-1.9491029426220545E-3</x:v>
      </x:c>
      <x:c r="H130" s="55"/>
      <x:c r="J130" s="47">
        <x:v>45747</x:v>
      </x:c>
      <x:c r="K130" s="50">
        <x:v>89033062.337500006</x:v>
      </x:c>
      <x:c r="L130" s="54">
        <x:f t="shared" si="85"/>
        <x:v>-2.4187474912959837</x:v>
      </x:c>
      <x:c r="M130" s="54">
        <x:f t="shared" si="92"/>
        <x:v>0.67633284592884246</x:v>
      </x:c>
      <x:c r="N130" s="54">
        <x:f t="shared" si="108"/>
        <x:v>-8.7181523720158971E-4</x:v>
      </x:c>
      <x:c r="O130" s="54">
        <x:f t="shared" si="109"/>
        <x:v>0.67633284592884235</x:v>
      </x:c>
      <x:c r="P130" s="55">
        <x:f t="shared" si="110"/>
        <x:v>0</x:v>
      </x:c>
      <x:c r="R130" s="47">
        <x:v>45747</x:v>
      </x:c>
      <x:c r="S130" s="50">
        <x:v>96953539.75</x:v>
      </x:c>
      <x:c r="T130" s="54">
        <x:f t="shared" si="86"/>
        <x:v>-2.3335233868717999</x:v>
      </x:c>
      <x:c r="U130" s="54">
        <x:f t="shared" si="93"/>
        <x:v>-0.13562023710737758</x:v>
      </x:c>
      <x:c r="V130" s="54">
        <x:f t="shared" si="101"/>
        <x:v>-1.3349375129478327</x:v>
      </x:c>
      <x:c r="W130" s="54">
        <x:f t="shared" si="94"/>
        <x:v>-0.14779288710737759</x:v>
      </x:c>
      <x:c r="X130" s="55">
        <x:f t="shared" si="102"/>
        <x:v>0</x:v>
      </x:c>
      <x:c r="Y130" s="47">
        <x:v>45747</x:v>
      </x:c>
      <x:c r="Z130" s="50">
        <x:v>212139220388.81702</x:v>
      </x:c>
      <x:c r="AA130" s="54">
        <x:f t="shared" si="87"/>
        <x:v>26.080508596032619</x:v>
      </x:c>
      <x:c r="AB130" s="54">
        <x:f t="shared" si="95"/>
        <x:v>-8.0697393132709294E-3</x:v>
      </x:c>
      <x:c r="AC130" s="54">
        <x:f t="shared" si="103"/>
        <x:v>3.7115850319644748E-3</x:v>
      </x:c>
      <x:c r="AD130" s="54">
        <x:f t="shared" si="104"/>
        <x:v>-3.9415054730270918E-2</x:v>
      </x:c>
      <x:c r="AE130" s="55"/>
      <x:c r="AF130" s="47">
        <x:v>45747</x:v>
      </x:c>
      <x:c r="AG130" s="50">
        <x:v>38343421820.787804</x:v>
      </x:c>
      <x:c r="AH130" s="54">
        <x:f t="shared" si="88"/>
        <x:v>24.369848819949908</x:v>
      </x:c>
      <x:c r="AI130" s="54">
        <x:f t="shared" si="96"/>
        <x:v>4.1144136153491218E-2</x:v>
      </x:c>
      <x:c r="AJ130" s="54">
        <x:f t="shared" si="107"/>
        <x:v>2.9975591470243899E-2</x:v>
      </x:c>
      <x:c r="AK130" s="54">
        <x:f t="shared" si="97"/>
        <x:v>3.8070136153491196E-2</x:v>
      </x:c>
      <x:c r="AL130" s="55">
        <x:f t="shared" si="89"/>
        <x:v>0.112082983003509</x:v>
      </x:c>
      <x:c r="AM130" s="47">
        <x:v>45747</x:v>
      </x:c>
      <x:c r="AN130" s="50">
        <x:v>470799587595.82697</x:v>
      </x:c>
      <x:c r="AO130" s="54">
        <x:f t="shared" si="90"/>
        <x:v>26.877698336367466</x:v>
      </x:c>
      <x:c r="AP130" s="54">
        <x:f t="shared" si="98"/>
        <x:v>9.0944008629278983E-4</x:v>
      </x:c>
      <x:c r="AQ130" s="54">
        <x:f t="shared" si="105"/>
        <x:v>-1.2098147332204067E-3</x:v>
      </x:c>
      <x:c r="AR130" s="55">
        <x:f t="shared" si="106"/>
        <x:v>4.9035559329278951E-4</x:v>
      </x:c>
    </x:row>
    <x:row r="131">
      <x:c r="B131" s="47">
        <x:v>45777</x:v>
      </x:c>
      <x:c r="C131" s="50">
        <x:v>344273470742.36688</x:v>
      </x:c>
      <x:c r="D131" s="54">
        <x:f t="shared" si="84"/>
        <x:v>26.564702151584349</x:v>
      </x:c>
      <x:c r="E131" s="54">
        <x:f t="shared" si="91"/>
        <x:v>4.2223862902552867E-2</x:v>
      </x:c>
      <x:c r="F131" s="54">
        <x:f t="shared" si="99"/>
        <x:v>3.243917131810034E-2</x:v>
      </x:c>
      <x:c r="G131" s="54">
        <x:f t="shared" si="100"/>
        <x:v>2.9412862902552867E-2</x:v>
      </x:c>
      <x:c r="H131" s="55"/>
      <x:c r="J131" s="47">
        <x:v>45777</x:v>
      </x:c>
      <x:c r="K131" s="50">
        <x:v>70070979.837500006</x:v>
      </x:c>
      <x:c r="L131" s="54">
        <x:f t="shared" si="85"/>
        <x:v>-2.6582465530025887</x:v>
      </x:c>
      <x:c r="M131" s="54">
        <x:f t="shared" si="92"/>
        <x:v>-0.23949906170660507</x:v>
      </x:c>
      <x:c r="N131" s="54">
        <x:f t="shared" si="108"/>
        <x:v>-0.69091704974382584</x:v>
      </x:c>
      <x:c r="O131" s="54">
        <x:f t="shared" si="109"/>
        <x:v>-0.23949906170660501</x:v>
      </x:c>
      <x:c r="P131" s="55">
        <x:f t="shared" si="110"/>
        <x:v>0</x:v>
      </x:c>
      <x:c r="R131" s="47">
        <x:v>45777</x:v>
      </x:c>
      <x:c r="S131" s="50">
        <x:v>172735338.25</x:v>
      </x:c>
      <x:c r="T131" s="54">
        <x:f t="shared" si="86"/>
        <x:v>-1.7559946925845804</x:v>
      </x:c>
      <x:c r="U131" s="54">
        <x:f t="shared" si="93"/>
        <x:v>0.57752869428721954</x:v>
      </x:c>
      <x:c r="V131" s="54">
        <x:f t="shared" si="101"/>
        <x:v>-0.73262108887209521</x:v>
      </x:c>
      <x:c r="W131" s="54">
        <x:f t="shared" si="94"/>
        <x:v>0.56535604428721953</x:v>
      </x:c>
      <x:c r="X131" s="55">
        <x:f t="shared" si="102"/>
        <x:v>0</x:v>
      </x:c>
      <x:c r="Y131" s="47">
        <x:v>45777</x:v>
      </x:c>
      <x:c r="Z131" s="50">
        <x:v>217217872692.94601</x:v>
      </x:c>
      <x:c r="AA131" s="54">
        <x:f t="shared" si="87"/>
        <x:v>26.104166708420752</x:v>
      </x:c>
      <x:c r="AB131" s="54">
        <x:f t="shared" si="95"/>
        <x:v>2.3658112388133645E-2</x:v>
      </x:c>
      <x:c r="AC131" s="54">
        <x:f t="shared" si="103"/>
        <x:v>1.3672046181872495E-2</x:v>
      </x:c>
      <x:c r="AD131" s="54">
        <x:f t="shared" si="104"/>
        <x:v>-7.6872030288663521E-3</x:v>
      </x:c>
      <x:c r="AE131" s="55"/>
      <x:c r="AF131" s="47">
        <x:v>45777</x:v>
      </x:c>
      <x:c r="AG131" s="50">
        <x:v>38360642616.1772</x:v>
      </x:c>
      <x:c r="AH131" s="54">
        <x:f t="shared" si="88"/>
        <x:v>24.37029783906787</x:v>
      </x:c>
      <x:c r="AI131" s="54">
        <x:f t="shared" si="96"/>
        <x:v>4.4901911796202398E-4</x:v>
      </x:c>
      <x:c r="AJ131" s="54">
        <x:f t="shared" si="107"/>
        <x:v>-1.6820018945526455E-2</x:v>
      </x:c>
      <x:c r="AK131" s="54">
        <x:f t="shared" si="97"/>
        <x:v>-2.6249808820379972E-3</x:v>
      </x:c>
      <x:c r="AL131" s="55">
        <x:f t="shared" si="89"/>
        <x:v>0.109458002121471</x:v>
      </x:c>
      <x:c r="AM131" s="47">
        <x:v>45777</x:v>
      </x:c>
      <x:c r="AN131" s="50">
        <x:v>478327279859.08099</x:v>
      </x:c>
      <x:c r="AO131" s="54">
        <x:f t="shared" si="90"/>
        <x:v>26.893561021045073</x:v>
      </x:c>
      <x:c r="AP131" s="54">
        <x:f t="shared" si="98"/>
        <x:v>1.5862684677607319E-2</x:v>
      </x:c>
      <x:c r="AQ131" s="54">
        <x:f t="shared" si="105"/>
        <x:v>6.8567758923039849E-3</x:v>
      </x:c>
      <x:c r="AR131" s="55">
        <x:f t="shared" si="106"/>
        <x:v>1.5443600184607319E-2</x:v>
      </x:c>
    </x:row>
    <x:row r="132">
      <x:c r="B132" s="47">
        <x:v>45808</x:v>
      </x:c>
      <x:c r="C132" s="50">
        <x:v>339457569788.08771</x:v>
      </x:c>
      <x:c r="D132" s="54">
        <x:f t="shared" si="84"/>
        <x:v>26.550614797601817</x:v>
      </x:c>
      <x:c r="E132" s="54">
        <x:f t="shared" si="91"/>
        <x:v>-1.4087353982532136E-2</x:v>
      </x:c>
      <x:c r="F132" s="54">
        <x:f t="shared" si="99"/>
        <x:v>-1.5467012752286829E-2</x:v>
      </x:c>
      <x:c r="G132" s="54">
        <x:f t="shared" si="100"/>
        <x:v>-2.6898353982532135E-2</x:v>
      </x:c>
      <x:c r="H132" s="55"/>
      <x:c r="J132" s="47">
        <x:v>45808</x:v>
      </x:c>
      <x:c r="K132" s="50">
        <x:v>43895700.837499999</x:v>
      </x:c>
      <x:c r="L132" s="54">
        <x:f t="shared" si="85"/>
        <x:v>-3.1259388945052025</x:v>
      </x:c>
      <x:c r="M132" s="54">
        <x:f t="shared" si="92"/>
        <x:v>-0.46769234150261374</x:v>
      </x:c>
      <x:c r="N132" s="54">
        <x:f t="shared" si="108"/>
        <x:v>-1.1101575733148987</x:v>
      </x:c>
      <x:c r="O132" s="54">
        <x:f t="shared" si="109"/>
        <x:v>-0.46769234150261374</x:v>
      </x:c>
      <x:c r="P132" s="55">
        <x:f t="shared" si="110"/>
        <x:v>0</x:v>
      </x:c>
      <x:c r="R132" s="47">
        <x:v>45808</x:v>
      </x:c>
      <x:c r="S132" s="50">
        <x:v>242836339.25</x:v>
      </x:c>
      <x:c r="T132" s="54">
        <x:f t="shared" si="86"/>
        <x:v>-1.4153675635740988</x:v>
      </x:c>
      <x:c r="U132" s="54">
        <x:f t="shared" si="93"/>
        <x:v>0.34062712901048164</x:v>
      </x:c>
      <x:c r="V132" s="54">
        <x:f t="shared" si="101"/>
        <x:v>-0.56155963862266811</x:v>
      </x:c>
      <x:c r="W132" s="54">
        <x:f t="shared" si="94"/>
        <x:v>0.32845447901048164</x:v>
      </x:c>
      <x:c r="X132" s="55">
        <x:f t="shared" si="102"/>
        <x:v>0</x:v>
      </x:c>
      <x:c r="Y132" s="47">
        <x:v>45808</x:v>
      </x:c>
      <x:c r="Z132" s="50">
        <x:v>216718366860.67099</x:v>
      </x:c>
      <x:c r="AA132" s="54">
        <x:f t="shared" si="87"/>
        <x:v>26.101864498983666</x:v>
      </x:c>
      <x:c r="AB132" s="54">
        <x:f t="shared" si="95"/>
        <x:v>-2.3022094370865887E-3</x:v>
      </x:c>
      <x:c r="AC132" s="54">
        <x:f t="shared" si="103"/>
        <x:v>-1.1952163701655267E-2</x:v>
      </x:c>
      <x:c r="AD132" s="54">
        <x:f t="shared" si="104"/>
        <x:v>-3.3647524854086584E-2</x:v>
      </x:c>
      <x:c r="AE132" s="55"/>
      <x:c r="AF132" s="47">
        <x:v>45808</x:v>
      </x:c>
      <x:c r="AG132" s="50">
        <x:v>39283380309.408997</x:v>
      </x:c>
      <x:c r="AH132" s="54">
        <x:f t="shared" si="88"/>
        <x:v>24.394067373486855</x:v>
      </x:c>
      <x:c r="AI132" s="54">
        <x:f t="shared" si="96"/>
        <x:v>2.3769534418985216E-2</x:v>
      </x:c>
      <x:c r="AJ132" s="54">
        <x:f t="shared" si="107"/>
        <x:v>-2.2705581968920224E-4</x:v>
      </x:c>
      <x:c r="AK132" s="54">
        <x:f t="shared" si="97"/>
        <x:v>2.0695534418985251E-2</x:v>
      </x:c>
      <x:c r="AL132" s="55">
        <x:f t="shared" si="89"/>
        <x:v>0.13015353654045625</x:v>
      </x:c>
      <x:c r="AM132" s="47">
        <x:v>45808</x:v>
      </x:c>
      <x:c r="AN132" s="50">
        <x:v>481528036252.09796</x:v>
      </x:c>
      <x:c r="AO132" s="54">
        <x:f t="shared" si="90"/>
        <x:v>26.900230293388947</x:v>
      </x:c>
      <x:c r="AP132" s="54">
        <x:f t="shared" si="98"/>
        <x:v>6.6692723438741552E-3</x:v>
      </x:c>
      <x:c r="AQ132" s="54">
        <x:f t="shared" si="105"/>
        <x:v>1.1089492999437516E-3</x:v>
      </x:c>
      <x:c r="AR132" s="55">
        <x:f t="shared" si="106"/>
        <x:v>6.2501878508741558E-3</x:v>
      </x:c>
    </x:row>
    <x:row r="133">
      <x:c r="B133" s="47">
        <x:v>45838</x:v>
      </x:c>
      <x:c r="C133" s="50">
        <x:v>382146315548.02197</x:v>
      </x:c>
      <x:c r="D133" s="54">
        <x:f t="shared" si="84"/>
        <x:v>26.669069397212461</x:v>
      </x:c>
      <x:c r="E133" s="54">
        <x:f t="shared" si="91"/>
        <x:v>0.11845459961064364</x:v>
      </x:c>
      <x:c r="F133" s="54">
        <x:f t="shared" si="99"/>
        <x:v>0.10647617149833048</x:v>
      </x:c>
      <x:c r="G133" s="54">
        <x:f t="shared" si="100"/>
        <x:v>0.10564359961064364</x:v>
      </x:c>
      <x:c r="H133" s="55"/>
      <x:c r="J133" s="47">
        <x:v>45838</x:v>
      </x:c>
      <x:c r="K133" s="50">
        <x:v>100591547.33750001</x:v>
      </x:c>
      <x:c r="L133" s="54">
        <x:f t="shared" si="85"/>
        <x:v>-2.2966870473366452</x:v>
      </x:c>
      <x:c r="M133" s="54">
        <x:f t="shared" si="92"/>
        <x:v>0.82925184716855727</x:v>
      </x:c>
      <x:c r="N133" s="54">
        <x:f t="shared" si="108"/>
        <x:v>0.11551386336729497</x:v>
      </x:c>
      <x:c r="O133" s="54">
        <x:f t="shared" si="109"/>
        <x:v>0.82925184716855738</x:v>
      </x:c>
      <x:c r="P133" s="55">
        <x:f t="shared" si="110"/>
        <x:v>0</x:v>
      </x:c>
      <x:c r="R133" s="47">
        <x:v>45838</x:v>
      </x:c>
      <x:c r="S133" s="50">
        <x:v>192151634.75</x:v>
      </x:c>
      <x:c r="T133" s="54">
        <x:f t="shared" si="86"/>
        <x:v>-1.6494704543311796</x:v>
      </x:c>
      <x:c r="U133" s="54">
        <x:f t="shared" si="93"/>
        <x:v>-0.23410289075708079</x:v>
      </x:c>
      <x:c r="V133" s="54">
        <x:f t="shared" si="101"/>
        <x:v>-0.900665779908282</x:v>
      </x:c>
      <x:c r="W133" s="54">
        <x:f t="shared" si="94"/>
        <x:v>-0.2462755407570808</x:v>
      </x:c>
      <x:c r="X133" s="55">
        <x:f t="shared" si="102"/>
        <x:v>0</x:v>
      </x:c>
      <x:c r="Y133" s="47">
        <x:v>45838</x:v>
      </x:c>
      <x:c r="Z133" s="50">
        <x:v>218597459054.41849</x:v>
      </x:c>
      <x:c r="AA133" s="54">
        <x:f t="shared" si="87"/>
        <x:v>26.110497788899512</x:v>
      </x:c>
      <x:c r="AB133" s="54">
        <x:f t="shared" si="95"/>
        <x:v>8.6332899158456655E-3</x:v>
      </x:c>
      <x:c r="AC133" s="54">
        <x:f t="shared" si="103"/>
        <x:v>-7.9880729769773711E-3</x:v>
      </x:c>
      <x:c r="AD133" s="54">
        <x:f t="shared" si="104"/>
        <x:v>-2.271202550115433E-2</x:v>
      </x:c>
      <x:c r="AE133" s="55"/>
      <x:c r="AF133" s="47">
        <x:v>45838</x:v>
      </x:c>
      <x:c r="AG133" s="50">
        <x:v>40233423695.804596</x:v>
      </x:c>
      <x:c r="AH133" s="54">
        <x:f t="shared" si="88"/>
        <x:v>24.417963922339613</x:v>
      </x:c>
      <x:c r="AI133" s="54">
        <x:f t="shared" si="96"/>
        <x:v>2.3896548852757604E-2</x:v>
      </x:c>
      <x:c r="AJ133" s="54">
        <x:f t="shared" si="107"/>
        <x:v>1.0367862476076628E-2</x:v>
      </x:c>
      <x:c r="AK133" s="54">
        <x:f t="shared" si="97"/>
        <x:v>2.0822548852757583E-2</x:v>
      </x:c>
      <x:c r="AL133" s="55">
        <x:f t="shared" si="89"/>
        <x:v>0.15097608539321383</x:v>
      </x:c>
      <x:c r="AM133" s="47">
        <x:v>45838</x:v>
      </x:c>
      <x:c r="AN133" s="50">
        <x:v>485769042910.16199</x:v>
      </x:c>
      <x:c r="AO133" s="54">
        <x:f t="shared" si="90"/>
        <x:v>26.908999127544469</x:v>
      </x:c>
      <x:c r="AP133" s="54">
        <x:f t="shared" si="98"/>
        <x:v>8.7688341555214322E-3</x:v>
      </x:c>
      <x:c r="AQ133" s="54">
        <x:f t="shared" si="105"/>
        <x:v>5.9528362013749943E-3</x:v>
      </x:c>
      <x:c r="AR133" s="55">
        <x:f t="shared" si="106"/>
        <x:v>8.3497496625214336E-3</x:v>
      </x:c>
    </x:row>
    <x:row r="134">
      <x:c r="B134" s="47">
        <x:v>45869</x:v>
      </x:c>
      <x:c r="C134" s="50">
        <x:v>382107765520.86548</x:v>
      </x:c>
      <x:c r="D134" s="54">
        <x:f t="shared" si="84"/>
        <x:v>26.668968514461177</x:v>
      </x:c>
      <x:c r="E134" s="54">
        <x:f t="shared" si="91"/>
        <x:v>-1.0088275128339319E-4</x:v>
      </x:c>
      <x:c r="F134" s="54">
        <x:f t="shared" si="99"/>
        <x:v>2.4278459648338392E-2</x:v>
      </x:c>
      <x:c r="G134" s="54">
        <x:f t="shared" si="100"/>
        <x:v>-1.2911882751283393E-2</x:v>
      </x:c>
      <x:c r="H134" s="55"/>
      <x:c r="J134" s="47">
        <x:v>45869</x:v>
      </x:c>
      <x:c r="K134" s="50">
        <x:v>72514438.837500006</x:v>
      </x:c>
      <x:c r="L134" s="54">
        <x:f t="shared" si="85"/>
        <x:v>-2.6239695805711967</x:v>
      </x:c>
      <x:c r="M134" s="54">
        <x:f t="shared" si="92"/>
        <x:v>-0.32728253323455148</x:v>
      </x:c>
      <x:c r="N134" s="54">
        <x:f t="shared" si="108"/>
        <x:v>-0.71833269037541603</x:v>
      </x:c>
      <x:c r="O134" s="54">
        <x:f t="shared" si="109"/>
        <x:v>-0.32728253323455136</x:v>
      </x:c>
      <x:c r="P134" s="55">
        <x:f t="shared" si="110"/>
        <x:v>0</x:v>
      </x:c>
      <x:c r="R134" s="47">
        <x:v>45869</x:v>
      </x:c>
      <x:c r="S134" s="50">
        <x:v>129125627.25</x:v>
      </x:c>
      <x:c r="T134" s="54">
        <x:f t="shared" si="86"/>
        <x:v>-2.0469694938581018</x:v>
      </x:c>
      <x:c r="U134" s="54">
        <x:f t="shared" si="93"/>
        <x:v>-0.39749903952692223</x:v>
      </x:c>
      <x:c r="V134" s="54">
        <x:f t="shared" si="101"/>
        <x:v>-1.2465377597715133</x:v>
      </x:c>
      <x:c r="W134" s="54">
        <x:f t="shared" si="94"/>
        <x:v>-0.40967168952692223</x:v>
      </x:c>
      <x:c r="X134" s="55">
        <x:f t="shared" si="102"/>
        <x:v>0</x:v>
      </x:c>
      <x:c r="Y134" s="47">
        <x:v>45869</x:v>
      </x:c>
      <x:c r="Z134" s="50">
        <x:v>221531992453.83701</x:v>
      </x:c>
      <x:c r="AA134" s="54">
        <x:f t="shared" si="87"/>
        <x:v>26.123832851459309</x:v>
      </x:c>
      <x:c r="AB134" s="54">
        <x:f t="shared" si="95"/>
        <x:v>1.3335062559796995E-2</x:v>
      </x:c>
      <x:c r="AC134" s="54">
        <x:f t="shared" si="103"/>
        <x:v>9.1170525577503273E-4</x:v>
      </x:c>
      <x:c r="AD134" s="54">
        <x:f t="shared" si="104"/>
        <x:v>-1.8010252857203E-2</x:v>
      </x:c>
      <x:c r="AE134" s="55"/>
      <x:c r="AF134" s="47">
        <x:v>45869</x:v>
      </x:c>
      <x:c r="AG134" s="50">
        <x:v>39725608778.841293</x:v>
      </x:c>
      <x:c r="AH134" s="54">
        <x:f t="shared" si="88"/>
        <x:v>24.405261874080999</x:v>
      </x:c>
      <x:c r="AI134" s="54">
        <x:f t="shared" si="96"/>
        <x:v>-1.2702048258613985E-2</x:v>
      </x:c>
      <x:c r="AJ134" s="54">
        <x:f t="shared" si="107"/>
        <x:v>-1.1182590947069734E-2</x:v>
      </x:c>
      <x:c r="AK134" s="54">
        <x:f t="shared" si="97"/>
        <x:v>-1.5776048258613951E-2</x:v>
      </x:c>
      <x:c r="AL134" s="55">
        <x:f t="shared" si="89"/>
        <x:v>0.13520003713459988</x:v>
      </x:c>
      <x:c r="AM134" s="47">
        <x:v>45869</x:v>
      </x:c>
      <x:c r="AN134" s="50">
        <x:v>491536164198.638</x:v>
      </x:c>
      <x:c r="AO134" s="54">
        <x:f t="shared" si="90"/>
        <x:v>26.920801353071244</x:v>
      </x:c>
      <x:c r="AP134" s="54">
        <x:f t="shared" si="98"/>
        <x:v>1.1802225526775345E-2</x:v>
      </x:c>
      <x:c r="AQ134" s="54">
        <x:f t="shared" si="105"/>
        <x:v>-2.9947398187071123E-3</x:v>
      </x:c>
      <x:c r="AR134" s="55">
        <x:f t="shared" si="106"/>
        <x:v>1.1383141033775345E-2</x:v>
      </x:c>
    </x:row>
    <x:row r="135">
      <x:c r="B135" s="47">
        <x:v>45900</x:v>
      </x:c>
      <x:c r="C135" s="50">
        <x:v>368934341111.21411</x:v>
      </x:c>
      <x:c r="D135" s="54">
        <x:f t="shared" si="84"/>
        <x:v>26.633884527786222</x:v>
      </x:c>
      <x:c r="E135" s="54">
        <x:f t="shared" si="91"/>
        <x:v>-3.508398667495527E-2</x:v>
      </x:c>
      <x:c r="F135" s="54">
        <x:f t="shared" si="99"/>
        <x:v>-1.6698553473468106E-2</x:v>
      </x:c>
      <x:c r="G135" s="54">
        <x:f t="shared" si="100"/>
        <x:v>-4.7894986674955273E-2</x:v>
      </x:c>
      <x:c r="H135" s="55"/>
      <x:c r="J135" s="47">
        <x:v>45900</x:v>
      </x:c>
      <x:c r="K135" s="50">
        <x:v>455928134.83749998</x:v>
      </x:c>
      <x:c r="L135" s="54">
        <x:f t="shared" si="85"/>
        <x:v>-0.78542008092835491</x:v>
      </x:c>
      <x:c r="M135" s="54">
        <x:f t="shared" si="92"/>
        <x:v>1.8385494996428418</x:v>
      </x:c>
      <x:c r="N135" s="54">
        <x:f t="shared" si="108"/>
        <x:v>1.1055084725456201</x:v>
      </x:c>
      <x:c r="O135" s="54">
        <x:f t="shared" si="109"/>
        <x:v>1.8385494996428413</x:v>
      </x:c>
      <x:c r="P135" s="55">
        <x:f t="shared" si="110"/>
        <x:v>0</x:v>
      </x:c>
      <x:c r="R135" s="47">
        <x:v>45900</x:v>
      </x:c>
      <x:c r="S135" s="50">
        <x:v>125467233.25</x:v>
      </x:c>
      <x:c r="T135" s="54">
        <x:f t="shared" si="86"/>
        <x:v>-2.0757106441415671</x:v>
      </x:c>
      <x:c r="U135" s="54">
        <x:f t="shared" si="93"/>
        <x:v>-2.8741150283465355E-2</x:v>
      </x:c>
      <x:c r="V135" s="54">
        <x:f t="shared" si="101"/>
        <x:v>-1.1791217430612657</x:v>
      </x:c>
      <x:c r="W135" s="54">
        <x:f t="shared" si="94"/>
        <x:v>-4.0913800283465356E-2</x:v>
      </x:c>
      <x:c r="X135" s="55">
        <x:f t="shared" si="102"/>
        <x:v>0</x:v>
      </x:c>
      <x:c r="Y135" s="47">
        <x:v>45900</x:v>
      </x:c>
      <x:c r="Z135" s="50">
        <x:v>222872944682.013</x:v>
      </x:c>
      <x:c r="AA135" s="54">
        <x:f t="shared" si="87"/>
        <x:v>26.129867691245412</x:v>
      </x:c>
      <x:c r="AB135" s="54">
        <x:f t="shared" si="95"/>
        <x:v>6.0348397861034186E-3</x:v>
      </x:c>
      <x:c r="AC135" s="54">
        <x:f t="shared" si="103"/>
        <x:v>-1.2530674872825033E-2</x:v>
      </x:c>
      <x:c r="AD135" s="54">
        <x:f t="shared" si="104"/>
        <x:v>-2.531047563089658E-2</x:v>
      </x:c>
      <x:c r="AE135" s="55"/>
      <x:c r="AF135" s="47">
        <x:v>45900</x:v>
      </x:c>
      <x:c r="AG135" s="50">
        <x:v>34798565475.863998</x:v>
      </x:c>
      <x:c r="AH135" s="54">
        <x:f t="shared" si="88"/>
        <x:v>24.272842000919262</x:v>
      </x:c>
      <x:c r="AI135" s="54">
        <x:f t="shared" si="96"/>
        <x:v>-0.1324198731617372</x:v>
      </x:c>
      <x:c r="AJ135" s="54">
        <x:f t="shared" si="107"/>
        <x:v>6.1952215107293901E-3</x:v>
      </x:c>
      <x:c r="AK135" s="54">
        <x:f t="shared" si="97"/>
        <x:v>-0.13549387316173722</x:v>
      </x:c>
      <x:c r="AL135" s="55">
        <x:f t="shared" si="89"/>
        <x:v>-2.9383602713733969E-4</x:v>
      </x:c>
      <x:c r="AM135" s="47">
        <x:v>45900</x:v>
      </x:c>
      <x:c r="AN135" s="50">
        <x:v>489837617490.05798</x:v>
      </x:c>
      <x:c r="AO135" s="54">
        <x:f t="shared" si="90"/>
        <x:v>26.917339780250895</x:v>
      </x:c>
      <x:c r="AP135" s="54">
        <x:f t="shared" si="98"/>
        <x:v>-3.4615728203490903E-3</x:v>
      </x:c>
      <x:c r="AQ135" s="54">
        <x:f t="shared" si="105"/>
        <x:v>-2.7399239056284637E-3</x:v>
      </x:c>
      <x:c r="AR135" s="55">
        <x:f t="shared" si="106"/>
        <x:v>-3.8806573133490902E-3</x:v>
      </x:c>
    </x:row>
    <x:row r="136">
      <x:c r="B136" s="47">
        <x:v>45930</x:v>
      </x:c>
      <x:c r="C136" s="50">
        <x:v>362247781973.59052</x:v>
      </x:c>
      <x:c r="D136" s="54" t="n">
        <x:f t="shared" ref="D136:D139" si="111">LN(C136)</x:f>
        <x:v>26.61559429521221</x:v>
      </x:c>
      <x:c r="E136" s="54">
        <x:f t="shared" si="91"/>
        <x:v>-1.829023257401019E-2</x:v>
      </x:c>
      <x:c r="F136" s="54">
        <x:f t="shared" si="99"/>
        <x:v>-3.2421004767381231E-2</x:v>
      </x:c>
      <x:c r="G136" s="54">
        <x:f t="shared" si="100"/>
        <x:v>-3.1101232574010193E-2</x:v>
      </x:c>
      <x:c r="H136" s="55"/>
      <x:c r="J136" s="47">
        <x:v>45930</x:v>
      </x:c>
      <x:c r="K136" s="50">
        <x:v>967001960.83749998</x:v>
      </x:c>
      <x:c r="L136" s="54" t="n">
        <x:f t="shared" ref="L136:L139" si="112">LN(K136/1000000000)</x:f>
        <x:v>-0.0335547557775377</x:v>
      </x:c>
      <x:c r="M136" s="54">
        <x:f t="shared" si="92"/>
        <x:v>0.75186532515081717</x:v>
      </x:c>
      <x:c r="N136" s="54">
        <x:f t="shared" si="108"/>
        <x:v>0.71452644495296147</x:v>
      </x:c>
      <x:c r="O136" s="54">
        <x:f t="shared" si="109"/>
        <x:v>0.75186532515081717</x:v>
      </x:c>
      <x:c r="P136" s="55">
        <x:f t="shared" si="110"/>
        <x:v>0</x:v>
      </x:c>
      <x:c r="R136" s="47">
        <x:v>45930</x:v>
      </x:c>
      <x:c r="S136" s="50">
        <x:v>121165288.25</x:v>
      </x:c>
      <x:c r="T136" s="54" t="n">
        <x:f t="shared" ref="T136:T139" si="113">LN(S136/1000000000)</x:f>
        <x:v>-2.1105996469449586</x:v>
      </x:c>
      <x:c r="U136" s="54">
        <x:f t="shared" si="93"/>
        <x:v>-3.4889002803391467E-2</x:v>
      </x:c>
      <x:c r="V136" s="54">
        <x:f t="shared" si="101"/>
        <x:v>-1.2183506132896298</x:v>
      </x:c>
      <x:c r="W136" s="54">
        <x:f t="shared" si="94"/>
        <x:v>-4.7061652803391467E-2</x:v>
      </x:c>
      <x:c r="X136" s="55">
        <x:f t="shared" si="102"/>
        <x:v>0</x:v>
      </x:c>
      <x:c r="Y136" s="47">
        <x:v>45930</x:v>
      </x:c>
      <x:c r="Z136" s="50">
        <x:v>222131831895.71402</x:v>
      </x:c>
      <x:c r="AA136" s="54" t="n">
        <x:f t="shared" ref="AA136:AA139" si="114">LN(Z136)</x:f>
        <x:v>26.126536879935134</x:v>
      </x:c>
      <x:c r="AB136" s="54">
        <x:f t="shared" si="95"/>
        <x:v>-3.3308113102776815E-3</x:v>
      </x:c>
      <x:c r="AC136" s="54">
        <x:f t="shared" si="103"/>
        <x:v>-2.3476307887848127E-2</x:v>
      </x:c>
      <x:c r="AD136" s="54">
        <x:f t="shared" si="104"/>
        <x:v>-3.4676126727277684E-2</x:v>
      </x:c>
      <x:c r="AE136" s="55"/>
      <x:c r="AF136" s="47">
        <x:v>45930</x:v>
      </x:c>
      <x:c r="AG136" s="50">
        <x:v>35600247358.4664</x:v>
      </x:c>
      <x:c r="AH136" s="54" t="n">
        <x:f t="shared" ref="AH136:AH139" si="115">LN(AG136)</x:f>
        <x:v>24.295618423051785</x:v>
      </x:c>
      <x:c r="AI136" s="54">
        <x:f t="shared" si="96"/>
        <x:v>2.2776422132523066E-2</x:v>
      </x:c>
      <x:c r="AJ136" s="54">
        <x:f t="shared" si="107"/>
        <x:v>3.8252534369332784E-3</x:v>
      </x:c>
      <x:c r="AK136" s="54">
        <x:f t="shared" si="97"/>
        <x:v>1.9702422132523045E-2</x:v>
      </x:c>
      <x:c r="AL136" s="55">
        <x:f t="shared" si="89"/>
        <x:v>1.9408586105385706E-2</x:v>
      </x:c>
      <x:c r="AM136" s="47">
        <x:v>45930</x:v>
      </x:c>
      <x:c r="AN136" s="50">
        <x:v>494829991648.44299</x:v>
      </x:c>
      <x:c r="AO136" s="54" t="n">
        <x:f t="shared" ref="AO136:AO139" si="116">LN(AN136)</x:f>
        <x:v>26.927480089306957</x:v>
      </x:c>
      <x:c r="AP136" s="54">
        <x:f t="shared" si="98"/>
        <x:v>1.0140309056062335E-2</x:v>
      </x:c>
      <x:c r="AQ136" s="54">
        <x:f t="shared" si="105"/>
        <x:v>1.3325727121164975E-3</x:v>
      </x:c>
      <x:c r="AR136" s="55">
        <x:f t="shared" si="106"/>
        <x:v>9.7212245630623334E-3</x:v>
      </x:c>
    </x:row>
    <x:row r="137">
      <x:c r="B137" s="47">
        <x:v>45961</x:v>
      </x:c>
      <x:c r="C137" s="50">
        <x:v>356717248597.31</x:v>
      </x:c>
      <x:c r="D137" s="54">
        <x:f t="shared" si="111"/>
        <x:v>26.600209284176092</x:v>
      </x:c>
      <x:c r="E137" s="54" t="n">
        <x:f t="shared" ref="E137:E139" si="117">D137-D136</x:f>
        <x:v>-0.015385011036119778</x:v>
      </x:c>
      <x:c r="F137" s="54">
        <x:f t="shared" si="99"/>
        <x:v>-4.3941050327442381E-2</x:v>
      </x:c>
      <x:c r="G137" s="54">
        <x:f t="shared" si="100"/>
        <x:v>-2.8196011036119781E-2</x:v>
      </x:c>
      <x:c r="H137" s="55"/>
      <x:c r="J137" s="47">
        <x:v>45961</x:v>
      </x:c>
      <x:c r="K137" s="50">
        <x:v>995958590.83749998</x:v>
      </x:c>
      <x:c r="L137" s="54">
        <x:f t="shared" si="112"/>
        <x:v>-4.0495977261798865E-3</x:v>
      </x:c>
      <x:c r="M137" s="54" t="n">
        <x:f t="shared" ref="M137:M139" si="118">L137-L136</x:f>
        <x:v>0.029505158051357814</x:v>
      </x:c>
      <x:c r="N137" s="54">
        <x:f t="shared" si="108"/>
        <x:v>0.43551205355326295</x:v>
      </x:c>
      <x:c r="O137" s="54">
        <x:f t="shared" si="109"/>
        <x:v>2.9505158051357783E-2</x:v>
      </x:c>
      <x:c r="P137" s="55">
        <x:f t="shared" si="110"/>
        <x:v>3.1225022567582528E-17</x:v>
      </x:c>
      <x:c r="R137" s="47">
        <x:v>45961</x:v>
      </x:c>
      <x:c r="S137" s="50">
        <x:v>359512090.25</x:v>
      </x:c>
      <x:c r="T137" s="54">
        <x:f t="shared" si="113"/>
        <x:v>-1.0230074716494013</x:v>
      </x:c>
      <x:c r="U137" s="54" t="n">
        <x:f t="shared" ref="U137:U139" si="119">T137-T136</x:f>
        <x:v>1.0875921752955573</x:v>
      </x:c>
      <x:c r="V137" s="54">
        <x:f t="shared" si="101"/>
        <x:v>-0.13342284039356822</x:v>
      </x:c>
      <x:c r="W137" s="54">
        <x:f t="shared" si="94"/>
        <x:v>1.0754195252955574</x:v>
      </x:c>
      <x:c r="X137" s="55">
        <x:f t="shared" si="102"/>
        <x:v>0</x:v>
      </x:c>
      <x:c r="Y137" s="47">
        <x:v>45961</x:v>
      </x:c>
      <x:c r="Z137" s="50">
        <x:v>221906833308.47</x:v>
      </x:c>
      <x:c r="AA137" s="54">
        <x:f t="shared" si="114"/>
        <x:v>26.125523460951015</x:v>
      </x:c>
      <x:c r="AB137" s="54" t="n">
        <x:f t="shared" ref="AB137:AB139" si="120">AA137-AA136</x:f>
        <x:v>-0.0010134189841188856</x:v>
      </x:c>
      <x:c r="AC137" s="54">
        <x:f t="shared" si="103"/>
        <x:v>-1.9399921587740392E-2</x:v>
      </x:c>
      <x:c r="AD137" s="54">
        <x:f t="shared" si="104"/>
        <x:v>-3.2358734401118888E-2</x:v>
      </x:c>
      <x:c r="AE137" s="55"/>
      <x:c r="AF137" s="47">
        <x:v>45961</x:v>
      </x:c>
      <x:c r="AG137" s="50">
        <x:v>38006449851.850304</x:v>
      </x:c>
      <x:c r="AH137" s="54">
        <x:f t="shared" si="115"/>
        <x:v>24.361021715213219</x:v>
      </x:c>
      <x:c r="AI137" s="54" t="n">
        <x:f t="shared" ref="AI137:AI139" si="121">AH137-AH136</x:f>
        <x:v>0.06540329216143448</x:v>
      </x:c>
      <x:c r="AJ137" s="54">
        <x:f t="shared" si="107"/>
        <x:v>2.8794527885358481E-2</x:v>
      </x:c>
      <x:c r="AK137" s="54" t="n">
        <x:f t="shared" ref="AK137:AK139" si="122">AL137-AL136</x:f>
        <x:v>0.06232929216143451</x:v>
      </x:c>
      <x:c r="AL137" s="55">
        <x:f t="shared" si="89"/>
        <x:v>8.1737878266820219E-2</x:v>
      </x:c>
      <x:c r="AM137" s="47">
        <x:v>45961</x:v>
      </x:c>
      <x:c r="AN137" s="50">
        <x:v>499782834920.17297</x:v>
      </x:c>
      <x:c r="AO137" s="54">
        <x:f t="shared" si="116"/>
        <x:v>26.937439510860283</x:v>
      </x:c>
      <x:c r="AP137" s="54" t="n">
        <x:f t="shared" ref="AP137:AP139" si="123">AO137-AO136</x:f>
        <x:v>0.009959421553325853</x:v>
      </x:c>
      <x:c r="AQ137" s="54">
        <x:f t="shared" si="105"/>
        <x:v>2.8732327830958628E-3</x:v>
      </x:c>
      <x:c r="AR137" s="55">
        <x:f t="shared" si="106"/>
        <x:v>9.5403370603258531E-3</x:v>
      </x:c>
    </x:row>
    <x:row r="138">
      <x:c r="B138" s="47" t="n">
        <x:f>EOMONTH(B137,1)</x:f>
        <x:v>45991</x:v>
      </x:c>
      <x:c r="C138" s="50">
        <x:v>346515167574.34106</x:v>
      </x:c>
      <x:c r="D138" s="54">
        <x:f t="shared" si="111"/>
        <x:v>26.571192428281652</x:v>
      </x:c>
      <x:c r="E138" s="54">
        <x:f t="shared" si="117"/>
        <x:v>-2.9016855894440141E-2</x:v>
      </x:c>
      <x:c r="F138" s="54" t="n">
        <x:f t="shared" ref="F138:F139" si="124">E138-$D$6-$E$6*F137-$F$6*F136</x:f>
        <x:v>-0.06518902583518041</x:v>
      </x:c>
      <x:c r="G138" s="54" t="n">
        <x:f t="shared" ref="G138:G139" si="125">F138+$E$6*F137+$F$6*F136</x:f>
        <x:v>-0.04182785589444014</x:v>
      </x:c>
      <x:c r="H138" s="55" t="n">
        <x:f>F138*F138</x:f>
        <x:v>0.004249609089339819</x:v>
      </x:c>
      <x:c r="J138" s="47" t="n">
        <x:f>EOMONTH(J137,1)</x:f>
        <x:v>45991</x:v>
      </x:c>
      <x:c r="K138" s="50">
        <x:v>1014024448.8375</x:v>
      </x:c>
      <x:c r="L138" s="54">
        <x:f t="shared" si="112"/>
        <x:v>1.3927016157904861E-2</x:v>
      </x:c>
      <x:c r="M138" s="54">
        <x:f t="shared" si="118"/>
        <x:v>1.7976613884084749E-2</x:v>
      </x:c>
      <x:c r="N138" s="54">
        <x:f t="shared" si="108"/>
        <x:v>0.36065248105650249</x:v>
      </x:c>
      <x:c r="O138" s="54">
        <x:f t="shared" si="109"/>
        <x:v>1.7976613884084724E-2</x:v>
      </x:c>
      <x:c r="P138" s="55">
        <x:f t="shared" si="110"/>
        <x:v>0</x:v>
      </x:c>
      <x:c r="R138" s="47" t="n">
        <x:f>EOMONTH(R137,1)</x:f>
        <x:v>45991</x:v>
      </x:c>
      <x:c r="S138" s="50">
        <x:v>154330045.25</x:v>
      </x:c>
      <x:c r="T138" s="54">
        <x:f t="shared" si="113"/>
        <x:v>-1.8686618188665631</x:v>
      </x:c>
      <x:c r="U138" s="54">
        <x:f t="shared" si="119"/>
        <x:v>-0.84565434721716182</x:v>
      </x:c>
      <x:c r="V138" s="54" t="n">
        <x:f t="shared" ref="V138:V139" si="126">U138-$T$6-$U$6*U137+V137</x:f>
        <x:v>-1.2876497017557653</x:v>
      </x:c>
      <x:c r="W138" s="54">
        <x:f t="shared" si="94"/>
        <x:v>-0.85782699721716182</x:v>
      </x:c>
      <x:c r="X138" s="55">
        <x:f t="shared" si="102"/>
        <x:v>0</x:v>
      </x:c>
      <x:c r="Y138" s="47" t="n">
        <x:f>EOMONTH(Y137,1)</x:f>
        <x:v>45991</x:v>
      </x:c>
      <x:c r="Z138" s="50">
        <x:v>225180222498.97549</x:v>
      </x:c>
      <x:c r="AA138" s="54">
        <x:f t="shared" si="114"/>
        <x:v>26.140166907414766</x:v>
      </x:c>
      <x:c r="AB138" s="54">
        <x:f t="shared" si="120"/>
        <x:v>1.464344646375082E-2</x:v>
      </x:c>
      <x:c r="AC138" s="54">
        <x:f t="shared" si="103"/>
        <x:v>-1.2733207737289455E-2</x:v>
      </x:c>
      <x:c r="AD138" s="54">
        <x:f t="shared" si="104"/>
        <x:v>-1.6701868953249176E-2</x:v>
      </x:c>
      <x:c r="AE138" s="55"/>
      <x:c r="AF138" s="47" t="n">
        <x:f>EOMONTH(AF137,1)</x:f>
        <x:v>45991</x:v>
      </x:c>
      <x:c r="AG138" s="50">
        <x:v>38573821918.793198</x:v>
      </x:c>
      <x:c r="AH138" s="54">
        <x:f t="shared" si="115"/>
        <x:v>24.375839694710958</x:v>
      </x:c>
      <x:c r="AI138" s="54">
        <x:f t="shared" si="121"/>
        <x:v>1.4817979497738776E-2</x:v>
      </x:c>
      <x:c r="AJ138" s="54">
        <x:f t="shared" si="107"/>
        <x:v>1.0131319973597997E-2</x:v>
      </x:c>
      <x:c r="AK138" s="54">
        <x:f t="shared" si="122"/>
        <x:v>1.1743979497738755E-2</x:v>
      </x:c>
      <x:c r="AL138" s="55">
        <x:f t="shared" si="89"/>
        <x:v>9.3481857764558973E-2</x:v>
      </x:c>
      <x:c r="AM138" s="47" t="n">
        <x:f>EOMONTH(AM137,1)</x:f>
        <x:v>45991</x:v>
      </x:c>
      <x:c r="AN138" s="50">
        <x:v>499008647759.04901</x:v>
      </x:c>
      <x:c r="AO138" s="54">
        <x:f t="shared" si="116"/>
        <x:v>26.935889262726217</x:v>
      </x:c>
      <x:c r="AP138" s="54">
        <x:f t="shared" si="123"/>
        <x:v>-1.5502481340661234E-3</x:v>
      </x:c>
      <x:c r="AQ138" s="54">
        <x:f t="shared" si="105"/>
        <x:v>-8.2793227278323035E-3</x:v>
      </x:c>
      <x:c r="AR138" s="55">
        <x:f t="shared" si="106"/>
        <x:v>-1.9693326270661237E-3</x:v>
      </x:c>
    </x:row>
    <x:row r="139">
      <x:c r="B139" s="48">
        <x:v>46022</x:v>
      </x:c>
      <x:c r="C139" s="51">
        <x:v>408243295861.91364</x:v>
      </x:c>
      <x:c r="D139" s="56">
        <x:f t="shared" si="111"/>
        <x:v>26.735129147013438</x:v>
      </x:c>
      <x:c r="E139" s="56">
        <x:f t="shared" si="117"/>
        <x:v>0.16393671873178661</x:v>
      </x:c>
      <x:c r="F139" s="56">
        <x:f t="shared" si="124"/>
        <x:v>0.11732662534402442</x:v>
      </x:c>
      <x:c r="G139" s="56">
        <x:f t="shared" si="125"/>
        <x:v>0.15112571873178662</x:v>
      </x:c>
      <x:c r="H139" s="57"/>
      <x:c r="J139" s="48">
        <x:v>46022</x:v>
      </x:c>
      <x:c r="K139" s="51">
        <x:v>1075444986.3375001</x:v>
      </x:c>
      <x:c r="L139" s="56">
        <x:f t="shared" si="112"/>
        <x:v>7.2734516708846939E-2</x:v>
      </x:c>
      <x:c r="M139" s="56">
        <x:f t="shared" si="118"/>
        <x:v>5.8807500550942075E-2</x:v>
      </x:c>
      <x:c r="N139" s="56">
        <x:f t="shared" si="108"/>
        <x:v>0.42865997065835226</x:v>
      </x:c>
      <x:c r="O139" s="56">
        <x:f t="shared" si="109"/>
        <x:v>5.8807500550942082E-2</x:v>
      </x:c>
      <x:c r="P139" s="57">
        <x:f t="shared" si="110"/>
        <x:v>0</x:v>
      </x:c>
      <x:c r="R139" s="48">
        <x:v>46022</x:v>
      </x:c>
      <x:c r="S139" s="51">
        <x:v>144286209.25</x:v>
      </x:c>
      <x:c r="T139" s="56">
        <x:f t="shared" si="113"/>
        <x:v>-1.9359563877624848</x:v>
      </x:c>
      <x:c r="U139" s="56">
        <x:f t="shared" si="119"/>
        <x:v>-6.7294568895921669E-2</x:v>
      </x:c>
      <x:c r="V139" s="56">
        <x:f t="shared" si="126"/>
        <x:v>-1.1366520098861148</x:v>
      </x:c>
      <x:c r="W139" s="56">
        <x:f t="shared" si="94"/>
        <x:v>-7.9467218895921676E-2</x:v>
      </x:c>
      <x:c r="X139" s="57">
        <x:f t="shared" si="102"/>
        <x:v>0</x:v>
      </x:c>
      <x:c r="Y139" s="48">
        <x:v>46022</x:v>
      </x:c>
      <x:c r="Z139" s="51">
        <x:v>226836693169.55502</x:v>
      </x:c>
      <x:c r="AA139" s="56">
        <x:f t="shared" si="114"/>
        <x:v>26.147496182175871</x:v>
      </x:c>
      <x:c r="AB139" s="56">
        <x:f t="shared" si="120"/>
        <x:v>7.3292747611048981E-3</x:v>
      </x:c>
      <x:c r="AC139" s="56" t="n">
        <x:f t="shared" ref="AC139" si="127">AB139-$AC$4-$AA$6*AB138-$AB$6*AB137-$AC$6*AC138-$AD$6*AC137-$AE$6*AC136</x:f>
        <x:v>-0.017774932301544852</x:v>
      </x:c>
      <x:c r="AD139" s="56" t="n">
        <x:f t="shared" ref="AD139" si="128">$AA$6*AB138+$AB$6*AB137+AC139+$AC$6*AC138+$AD$6*AC137+$AE$6*AC136</x:f>
        <x:v>-0.024016040655895098</x:v>
      </x:c>
      <x:c r="AE139" s="57"/>
      <x:c r="AF139" s="48">
        <x:v>46022</x:v>
      </x:c>
      <x:c r="AG139" s="51">
        <x:v>35818444363.614197</x:v>
      </x:c>
      <x:c r="AH139" s="56">
        <x:f t="shared" si="115"/>
        <x:v>24.30172880336773</x:v>
      </x:c>
      <x:c r="AI139" s="56">
        <x:f t="shared" si="121"/>
        <x:v>-7.4110891343227792E-2</x:v>
      </x:c>
      <x:c r="AJ139" s="56">
        <x:f t="shared" si="107"/>
        <x:v>1.6588162055248025E-2</x:v>
      </x:c>
      <x:c r="AK139" s="56">
        <x:f t="shared" si="122"/>
        <x:v>-7.7184891343227757E-2</x:v>
      </x:c>
      <x:c r="AL139" s="57">
        <x:f t="shared" si="89"/>
        <x:v>1.6296966421331216E-2</x:v>
      </x:c>
      <x:c r="AM139" s="48">
        <x:v>46022</x:v>
      </x:c>
      <x:c r="AN139" s="51">
        <x:v>509868771181.586</x:v>
      </x:c>
      <x:c r="AO139" s="56">
        <x:f t="shared" si="116"/>
        <x:v>26.957419218145866</x:v>
      </x:c>
      <x:c r="AP139" s="56">
        <x:f t="shared" si="123"/>
        <x:v>2.1529955419648417E-2</x:v>
      </x:c>
      <x:c r="AQ139" s="56">
        <x:f t="shared" si="105"/>
        <x:v>2.5785376685738184E-3</x:v>
      </x:c>
      <x:c r="AR139" s="57">
        <x:f t="shared" si="106"/>
        <x:v>2.1110870926648415E-2</x:v>
      </x:c>
    </x:row>
    <x:row r="145">
      <x:c r="B145" s="41" t="s">
        <x:v>2</x:v>
      </x:c>
      <x:c r="C145" s="42" t="s">
        <x:v>3</x:v>
      </x:c>
      <x:c r="D145" s="42" t="s">
        <x:v>5</x:v>
      </x:c>
      <x:c r="E145" s="42" t="s">
        <x:v>6</x:v>
      </x:c>
      <x:c r="F145" s="42" t="s">
        <x:v>7</x:v>
      </x:c>
      <x:c r="G145" s="43" t="s">
        <x:v>8</x:v>
      </x:c>
      <x:c r="J145" s="41" t="s">
        <x:v>2</x:v>
      </x:c>
      <x:c r="K145" s="42" t="s">
        <x:v>3</x:v>
      </x:c>
      <x:c r="L145" s="42" t="s">
        <x:v>5</x:v>
      </x:c>
      <x:c r="M145" s="42" t="s">
        <x:v>6</x:v>
      </x:c>
      <x:c r="N145" s="42" t="s">
        <x:v>7</x:v>
      </x:c>
      <x:c r="O145" s="43" t="s">
        <x:v>8</x:v>
      </x:c>
      <x:c r="R145" s="41" t="s">
        <x:v>2</x:v>
      </x:c>
      <x:c r="S145" s="42" t="s">
        <x:v>3</x:v>
      </x:c>
      <x:c r="T145" s="42" t="s">
        <x:v>5</x:v>
      </x:c>
      <x:c r="U145" s="42" t="s">
        <x:v>6</x:v>
      </x:c>
      <x:c r="V145" s="42" t="s">
        <x:v>7</x:v>
      </x:c>
      <x:c r="W145" s="43" t="s">
        <x:v>8</x:v>
      </x:c>
      <x:c r="Y145" s="41" t="s">
        <x:v>2</x:v>
      </x:c>
      <x:c r="Z145" s="42" t="s">
        <x:v>3</x:v>
      </x:c>
      <x:c r="AA145" s="42" t="s">
        <x:v>5</x:v>
      </x:c>
      <x:c r="AB145" s="42" t="s">
        <x:v>6</x:v>
      </x:c>
      <x:c r="AC145" s="42" t="s">
        <x:v>7</x:v>
      </x:c>
      <x:c r="AD145" s="43" t="s">
        <x:v>8</x:v>
      </x:c>
      <x:c r="AF145" s="41" t="s">
        <x:v>2</x:v>
      </x:c>
      <x:c r="AG145" s="42" t="s">
        <x:v>3</x:v>
      </x:c>
      <x:c r="AH145" s="42" t="s">
        <x:v>5</x:v>
      </x:c>
      <x:c r="AI145" s="42" t="s">
        <x:v>6</x:v>
      </x:c>
      <x:c r="AJ145" s="42" t="s">
        <x:v>7</x:v>
      </x:c>
      <x:c r="AK145" s="43" t="s">
        <x:v>8</x:v>
      </x:c>
      <x:c r="AM145" s="41" t="s">
        <x:v>2</x:v>
      </x:c>
      <x:c r="AN145" s="42" t="s">
        <x:v>3</x:v>
      </x:c>
      <x:c r="AO145" s="42" t="s">
        <x:v>5</x:v>
      </x:c>
      <x:c r="AP145" s="42" t="s">
        <x:v>6</x:v>
      </x:c>
      <x:c r="AQ145" s="42" t="s">
        <x:v>7</x:v>
      </x:c>
      <x:c r="AR145" s="43" t="s">
        <x:v>8</x:v>
      </x:c>
    </x:row>
    <x:row r="146">
      <x:c r="B146" s="44">
        <x:v>1</x:v>
      </x:c>
      <x:c r="C146" s="58" t="n">
        <x:f>EOMONTH(B139,1)</x:f>
        <x:v>46053</x:v>
      </x:c>
      <x:c r="D146" s="88" t="n">
        <x:f t="shared" ref="D146:D177" si="129">MIN(1,EXP(B146*$H$4))</x:f>
        <x:v>0.7209580657322964</x:v>
      </x:c>
      <x:c r="E146" s="60" t="n">
        <x:f t="shared" ref="E146:E177" si="130">1-D146</x:f>
        <x:v>0.27904193426770363</x:v>
      </x:c>
      <x:c r="F146" s="50" t="n">
        <x:f t="shared" ref="F146:F177" si="131">D146*$C$139</x:f>
        <x:v>294326296932.78284</x:v>
      </x:c>
      <x:c r="G146" s="62" t="n">
        <x:f t="shared" ref="G146:G177" si="132">$C$139-F146</x:f>
        <x:v>113916998929.1308</x:v>
      </x:c>
      <x:c r="J146" s="44">
        <x:v>1</x:v>
      </x:c>
      <x:c r="K146" s="58" t="n">
        <x:f>EOMONTH(J139,1)</x:f>
        <x:v>46053</x:v>
      </x:c>
      <x:c r="L146" s="88" t="n">
        <x:f t="shared" ref="L146:L177" si="133">MIN(1,EXP(J146*$P$4))</x:f>
        <x:v>0.4399557024125395</x:v>
      </x:c>
      <x:c r="M146" s="60" t="n">
        <x:f t="shared" ref="M146:M177" si="134">1-L146</x:f>
        <x:v>0.5600442975874604</x:v>
      </x:c>
      <x:c r="N146" s="50" t="n">
        <x:f t="shared" ref="N146:N177" si="135">L146*$K$139</x:f>
        <x:v>473148154.3701588</x:v>
      </x:c>
      <x:c r="O146" s="62" t="n">
        <x:f t="shared" ref="O146:O177" si="136">$K$139-N146</x:f>
        <x:v>602296831.9673413</x:v>
      </x:c>
      <x:c r="R146" s="44">
        <x:v>1</x:v>
      </x:c>
      <x:c r="S146" s="58" t="n">
        <x:f>EOMONTH(R139,1)</x:f>
        <x:v>46053</x:v>
      </x:c>
      <x:c r="T146" s="88" t="n">
        <x:f t="shared" ref="T146:T177" si="137">EXP(R146*$X$4)</x:f>
        <x:v>0.5488817221873317</x:v>
      </x:c>
      <x:c r="U146" s="60" t="n">
        <x:f t="shared" ref="U146:U177" si="138">1-T146</x:f>
        <x:v>0.45111827781266833</x:v>
      </x:c>
      <x:c r="V146" s="50" t="n">
        <x:f t="shared" ref="V146:V177" si="139">T146*$S$139</x:f>
        <x:v>79196063.02102171</x:v>
      </x:c>
      <x:c r="W146" s="62" t="n">
        <x:f t="shared" ref="W146:W177" si="140">$S$139-V146</x:f>
        <x:v>65090146.22897829</x:v>
      </x:c>
      <x:c r="Y146" s="44">
        <x:v>1</x:v>
      </x:c>
      <x:c r="Z146" s="58" t="n">
        <x:f>EOMONTH(Y139,1)</x:f>
        <x:v>46053</x:v>
      </x:c>
      <x:c r="AA146" s="88" t="n">
        <x:f t="shared" ref="AA146:AA177" si="141">MIN(1,EXP(Y146*$AE$4))</x:f>
        <x:v>0.9235435215948778</x:v>
      </x:c>
      <x:c r="AB146" s="60" t="n">
        <x:f t="shared" ref="AB146:AB177" si="142">1-AA146</x:f>
        <x:v>0.07645647840512215</x:v>
      </x:c>
      <x:c r="AC146" s="50" t="n">
        <x:f t="shared" ref="AC146:AC177" si="143">AA146*$Z$139</x:f>
        <x:v>209493558436.74762</x:v>
      </x:c>
      <x:c r="AD146" s="62" t="n">
        <x:f t="shared" ref="AD146:AD177" si="144">$Z$139-AC146</x:f>
        <x:v>17343134732.807404</x:v>
      </x:c>
      <x:c r="AF146" s="44">
        <x:v>1</x:v>
      </x:c>
      <x:c r="AG146" s="58" t="n">
        <x:f>EOMONTH(AF139,1)</x:f>
        <x:v>46053</x:v>
      </x:c>
      <x:c r="AH146" s="88" t="n">
        <x:f t="shared" ref="AH146:AH177" si="145">MIN(1,EXP(AF146*$AL$4))</x:f>
        <x:v>0.8483289968270038</x:v>
      </x:c>
      <x:c r="AI146" s="60" t="n">
        <x:f t="shared" ref="AI146:AI177" si="146">1-AH146</x:f>
        <x:v>0.1516710031729962</x:v>
      </x:c>
      <x:c r="AJ146" s="50" t="n">
        <x:f t="shared" ref="AJ146:AJ177" si="147">AH146*$AG$139</x:f>
        <x:v>30385824974.88868</x:v>
      </x:c>
      <x:c r="AK146" s="62" t="n">
        <x:f t="shared" ref="AK146:AK177" si="148">$AG$139-AJ146</x:f>
        <x:v>5432619388.725517</x:v>
      </x:c>
      <x:c r="AM146" s="44">
        <x:v>1</x:v>
      </x:c>
      <x:c r="AN146" s="58" t="n">
        <x:f>EOMONTH(AM139,1)</x:f>
        <x:v>46053</x:v>
      </x:c>
      <x:c r="AO146" s="88" t="n">
        <x:f t="shared" ref="AO146:AO177" si="149">MIN(1,EXP(AM146*$AR$4))</x:f>
        <x:v>0.9860666907748635</x:v>
      </x:c>
      <x:c r="AP146" s="60" t="n">
        <x:f t="shared" ref="AP146:AP177" si="150">1-AO146</x:f>
        <x:v>0.01393330922513647</x:v>
      </x:c>
      <x:c r="AQ146" s="50" t="n">
        <x:f t="shared" ref="AQ146:AQ177" si="151">AO146*$AN$139</x:f>
        <x:v>502764611928.4726</x:v>
      </x:c>
      <x:c r="AR146" s="62" t="n">
        <x:f t="shared" ref="AR146:AR177" si="152">$AN$139-AQ146</x:f>
        <x:v>7104159253.113403</x:v>
      </x:c>
    </x:row>
    <x:row r="147">
      <x:c r="B147" s="44">
        <x:v>2</x:v>
      </x:c>
      <x:c r="C147" s="58" t="n">
        <x:f t="shared" ref="C147:C178" si="153">EOMONTH(C146,1)</x:f>
        <x:v>46081</x:v>
      </x:c>
      <x:c r="D147" s="88">
        <x:f t="shared" si="129"/>
        <x:v>0.51978053254445411</x:v>
      </x:c>
      <x:c r="E147" s="60">
        <x:f t="shared" si="130"/>
        <x:v>0.48021946745554589</x:v>
      </x:c>
      <x:c r="F147" s="50">
        <x:f t="shared" si="131"/>
        <x:v>212196917730.80859</x:v>
      </x:c>
      <x:c r="G147" s="62">
        <x:f t="shared" si="132"/>
        <x:v>196046378131.10504</x:v>
      </x:c>
      <x:c r="J147" s="44" t="n">
        <x:f t="shared" ref="J147:J178" si="154">J146+1</x:f>
        <x:v>2</x:v>
      </x:c>
      <x:c r="K147" s="58" t="n">
        <x:f t="shared" ref="K147:K178" si="155">EOMONTH(K146,1)</x:f>
        <x:v>46081</x:v>
      </x:c>
      <x:c r="L147" s="88">
        <x:f t="shared" si="133"/>
        <x:v>0.19356102008531104</x:v>
      </x:c>
      <x:c r="M147" s="60">
        <x:f t="shared" si="134"/>
        <x:v>0.80643897991468894</x:v>
      </x:c>
      <x:c r="N147" s="50">
        <x:f t="shared" si="135"/>
        <x:v>208164228.60111991</x:v>
      </x:c>
      <x:c r="O147" s="62">
        <x:f t="shared" si="136"/>
        <x:v>867280757.73638022</x:v>
      </x:c>
      <x:c r="R147" s="44">
        <x:v>2</x:v>
      </x:c>
      <x:c r="S147" s="58" t="n">
        <x:f t="shared" ref="S147:S178" si="156">EOMONTH(S146,1)</x:f>
        <x:v>46081</x:v>
      </x:c>
      <x:c r="T147" s="88">
        <x:f t="shared" si="137"/>
        <x:v>0.30127114495133117</x:v>
      </x:c>
      <x:c r="U147" s="60">
        <x:f t="shared" si="138"/>
        <x:v>0.69872885504866877</x:v>
      </x:c>
      <x:c r="V147" s="50">
        <x:f t="shared" si="139"/>
        <x:v>43469271.461434849</x:v>
      </x:c>
      <x:c r="W147" s="62">
        <x:f t="shared" si="140"/>
        <x:v>100816937.78856516</x:v>
      </x:c>
      <x:c r="Y147" s="44">
        <x:v>2</x:v>
      </x:c>
      <x:c r="Z147" s="58" t="n">
        <x:f t="shared" ref="Z147:Z178" si="157">EOMONTH(Z146,1)</x:f>
        <x:v>46081</x:v>
      </x:c>
      <x:c r="AA147" s="88">
        <x:f t="shared" si="141"/>
        <x:v>0.85293263627986859</x:v>
      </x:c>
      <x:c r="AB147" s="60">
        <x:f t="shared" si="142"/>
        <x:v>0.14706736372013141</x:v>
      </x:c>
      <x:c r="AC147" s="50">
        <x:f t="shared" si="143"/>
        <x:v>193476418710.11624</x:v>
      </x:c>
      <x:c r="AD147" s="62">
        <x:f t="shared" si="144"/>
        <x:v>33360274459.438782</x:v>
      </x:c>
      <x:c r="AF147" s="44">
        <x:v>2</x:v>
      </x:c>
      <x:c r="AG147" s="58" t="n">
        <x:f t="shared" ref="AG147:AG178" si="158">EOMONTH(AG146,1)</x:f>
        <x:v>46081</x:v>
      </x:c>
      <x:c r="AH147" s="88">
        <x:f t="shared" si="145"/>
        <x:v>0.71966208685751054</x:v>
      </x:c>
      <x:c r="AI147" s="60">
        <x:f t="shared" si="146"/>
        <x:v>0.28033791314248946</x:v>
      </x:c>
      <x:c r="AJ147" s="50">
        <x:f t="shared" si="147"/>
        <x:v>25777176418.708229</x:v>
      </x:c>
      <x:c r="AK147" s="62">
        <x:f t="shared" si="148"/>
        <x:v>10041267944.905968</x:v>
      </x:c>
      <x:c r="AM147" s="44">
        <x:v>2</x:v>
      </x:c>
      <x:c r="AN147" s="58" t="n">
        <x:f t="shared" ref="AN147:AN178" si="159">EOMONTH(AN146,1)</x:f>
        <x:v>46081</x:v>
      </x:c>
      <x:c r="AO147" s="88">
        <x:f t="shared" si="149"/>
        <x:v>0.97232751865569034</x:v>
      </x:c>
      <x:c r="AP147" s="60">
        <x:f t="shared" si="150"/>
        <x:v>2.7672481344309663E-2</x:v>
      </x:c>
      <x:c r="AQ147" s="50">
        <x:f t="shared" si="151"/>
        <x:v>495759437123.01746</x:v>
      </x:c>
      <x:c r="AR147" s="62">
        <x:f t="shared" si="152"/>
        <x:v>14109334058.568542</x:v>
      </x:c>
    </x:row>
    <x:row r="148">
      <x:c r="B148" s="44">
        <x:v>3</x:v>
      </x:c>
      <x:c r="C148" s="58">
        <x:f t="shared" si="153"/>
        <x:v>46112</x:v>
      </x:c>
      <x:c r="D148" s="88">
        <x:f t="shared" si="129"/>
        <x:v>0.37473996734855253</x:v>
      </x:c>
      <x:c r="E148" s="60">
        <x:f t="shared" si="130"/>
        <x:v>0.62526003265144747</x:v>
      </x:c>
      <x:c r="F148" s="50">
        <x:f t="shared" si="131"/>
        <x:v>152985079361.55899</x:v>
      </x:c>
      <x:c r="G148" s="62">
        <x:f t="shared" si="132"/>
        <x:v>255258216500.35464</x:v>
      </x:c>
      <x:c r="J148" s="44">
        <x:f t="shared" si="154"/>
        <x:v>3</x:v>
      </x:c>
      <x:c r="K148" s="58">
        <x:f t="shared" si="155"/>
        <x:v>46112</x:v>
      </x:c>
      <x:c r="L148" s="88">
        <x:f t="shared" si="133"/>
        <x:v>8.5158274551320676E-2</x:v>
      </x:c>
      <x:c r="M148" s="60">
        <x:f t="shared" si="134"/>
        <x:v>0.91484172544867937</x:v>
      </x:c>
      <x:c r="N148" s="50">
        <x:f t="shared" si="135"/>
        <x:v>91583039.411370143</x:v>
      </x:c>
      <x:c r="O148" s="62">
        <x:f t="shared" si="136"/>
        <x:v>983861946.92612994</x:v>
      </x:c>
      <x:c r="R148" s="44">
        <x:v>3</x:v>
      </x:c>
      <x:c r="S148" s="58">
        <x:f t="shared" si="156"/>
        <x:v>46112</x:v>
      </x:c>
      <x:c r="T148" s="88">
        <x:f t="shared" si="137"/>
        <x:v>0.16536222488623586</x:v>
      </x:c>
      <x:c r="U148" s="60">
        <x:f t="shared" si="138"/>
        <x:v>0.83463777511376414</x:v>
      </x:c>
      <x:c r="V148" s="50">
        <x:f t="shared" si="139"/>
        <x:v>23859488.581980985</x:v>
      </x:c>
      <x:c r="W148" s="62">
        <x:f t="shared" si="140"/>
        <x:v>120426720.66801901</x:v>
      </x:c>
      <x:c r="Y148" s="44">
        <x:v>3</x:v>
      </x:c>
      <x:c r="Z148" s="58">
        <x:f t="shared" si="157"/>
        <x:v>46112</x:v>
      </x:c>
      <x:c r="AA148" s="88">
        <x:f t="shared" si="141"/>
        <x:v>0.78772041059311282</x:v>
      </x:c>
      <x:c r="AB148" s="60">
        <x:f t="shared" si="142"/>
        <x:v>0.21227958940688718</x:v>
      </x:c>
      <x:c r="AC148" s="50">
        <x:f t="shared" si="143"/>
        <x:v>178683893081.10583</x:v>
      </x:c>
      <x:c r="AD148" s="62">
        <x:f t="shared" si="144"/>
        <x:v>48152800088.449188</x:v>
      </x:c>
      <x:c r="AF148" s="44">
        <x:v>3</x:v>
      </x:c>
      <x:c r="AG148" s="58">
        <x:f t="shared" si="158"/>
        <x:v>46112</x:v>
      </x:c>
      <x:c r="AH148" s="88">
        <x:f t="shared" si="145"/>
        <x:v>0.61051021619825996</x:v>
      </x:c>
      <x:c r="AI148" s="60">
        <x:f t="shared" si="146"/>
        <x:v>0.38948978380174004</x:v>
      </x:c>
      <x:c r="AJ148" s="50">
        <x:f t="shared" si="147"/>
        <x:v>21867526212.315449</x:v>
      </x:c>
      <x:c r="AK148" s="62">
        <x:f t="shared" si="148"/>
        <x:v>13950918151.298748</x:v>
      </x:c>
      <x:c r="AM148" s="44">
        <x:v>3</x:v>
      </x:c>
      <x:c r="AN148" s="58">
        <x:f t="shared" si="159"/>
        <x:v>46112</x:v>
      </x:c>
      <x:c r="AO148" s="88">
        <x:f t="shared" si="149"/>
        <x:v>0.95877977867015107</x:v>
      </x:c>
      <x:c r="AP148" s="60">
        <x:f t="shared" si="150"/>
        <x:v>4.1220221329848927E-2</x:v>
      </x:c>
      <x:c r="AQ148" s="50">
        <x:f t="shared" si="151"/>
        <x:v>488851867584.30292</x:v>
      </x:c>
      <x:c r="AR148" s="62">
        <x:f t="shared" si="152"/>
        <x:v>21016903597.283081</x:v>
      </x:c>
    </x:row>
    <x:row r="149">
      <x:c r="B149" s="44">
        <x:v>4</x:v>
      </x:c>
      <x:c r="C149" s="58">
        <x:f t="shared" si="153"/>
        <x:v>46142</x:v>
      </x:c>
      <x:c r="D149" s="88">
        <x:f t="shared" si="129"/>
        <x:v>0.27017180201219632</x:v>
      </x:c>
      <x:c r="E149" s="60">
        <x:f t="shared" si="130"/>
        <x:v>0.72982819798780363</x:v>
      </x:c>
      <x:c r="F149" s="50">
        <x:f t="shared" si="131"/>
        <x:v>110295826902.41141</x:v>
      </x:c>
      <x:c r="G149" s="62">
        <x:f t="shared" si="132"/>
        <x:v>297947468959.5022</x:v>
      </x:c>
      <x:c r="J149" s="44">
        <x:f t="shared" si="154"/>
        <x:v>4</x:v>
      </x:c>
      <x:c r="K149" s="58">
        <x:f t="shared" si="155"/>
        <x:v>46142</x:v>
      </x:c>
      <x:c r="L149" s="88">
        <x:f t="shared" si="133"/>
        <x:v>3.746586849646618E-2</x:v>
      </x:c>
      <x:c r="M149" s="60">
        <x:f t="shared" si="134"/>
        <x:v>0.96253413150353384</x:v>
      </x:c>
      <x:c r="N149" s="50">
        <x:f t="shared" si="135"/>
        <x:v>40292480.433304645</x:v>
      </x:c>
      <x:c r="O149" s="62">
        <x:f t="shared" si="136"/>
        <x:v>1035152505.9041954</x:v>
      </x:c>
      <x:c r="R149" s="44">
        <x:v>4</x:v>
      </x:c>
      <x:c r="S149" s="58">
        <x:f t="shared" si="156"/>
        <x:v>46142</x:v>
      </x:c>
      <x:c r="T149" s="88">
        <x:f t="shared" si="137"/>
        <x:v>9.076430278028598E-2</x:v>
      </x:c>
      <x:c r="U149" s="60">
        <x:f t="shared" si="138"/>
        <x:v>0.90923569721971398</x:v>
      </x:c>
      <x:c r="V149" s="50">
        <x:f t="shared" si="139"/>
        <x:v>13096037.1833867</x:v>
      </x:c>
      <x:c r="W149" s="62">
        <x:f t="shared" si="140"/>
        <x:v>131190172.0666133</x:v>
      </x:c>
      <x:c r="Y149" s="44">
        <x:v>4</x:v>
      </x:c>
      <x:c r="Z149" s="58">
        <x:f t="shared" si="157"/>
        <x:v>46142</x:v>
      </x:c>
      <x:c r="AA149" s="88">
        <x:f t="shared" si="141"/>
        <x:v>0.72749408203132659</x:v>
      </x:c>
      <x:c r="AB149" s="60">
        <x:f t="shared" si="142"/>
        <x:v>0.27250591796867341</x:v>
      </x:c>
      <x:c r="AC149" s="50">
        <x:f t="shared" si="143"/>
        <x:v>165022351868.40714</x:v>
      </x:c>
      <x:c r="AD149" s="62">
        <x:f t="shared" si="144"/>
        <x:v>61814341301.147888</x:v>
      </x:c>
      <x:c r="AF149" s="44">
        <x:v>4</x:v>
      </x:c>
      <x:c r="AG149" s="58">
        <x:f t="shared" si="158"/>
        <x:v>46142</x:v>
      </x:c>
      <x:c r="AH149" s="88">
        <x:f t="shared" si="145"/>
        <x:v>0.51791351926010709</x:v>
      </x:c>
      <x:c r="AI149" s="60">
        <x:f t="shared" si="146"/>
        <x:v>0.48208648073989291</x:v>
      </x:c>
      <x:c r="AJ149" s="50">
        <x:f t="shared" si="147"/>
        <x:v>18550856574.781776</x:v>
      </x:c>
      <x:c r="AK149" s="62">
        <x:f t="shared" si="148"/>
        <x:v>17267587788.83242</x:v>
      </x:c>
      <x:c r="AM149" s="44">
        <x:v>4</x:v>
      </x:c>
      <x:c r="AN149" s="58">
        <x:f t="shared" si="159"/>
        <x:v>46142</x:v>
      </x:c>
      <x:c r="AO149" s="88">
        <x:f t="shared" si="149"/>
        <x:v>0.94542080353513192</x:v>
      </x:c>
      <x:c r="AP149" s="60">
        <x:f t="shared" si="150"/>
        <x:v>5.4579196464868085E-2</x:v>
      </x:c>
      <x:c r="AQ149" s="50">
        <x:f t="shared" si="151"/>
        <x:v>482040543347.96533</x:v>
      </x:c>
      <x:c r="AR149" s="62">
        <x:f t="shared" si="152"/>
        <x:v>27828227833.620667</x:v>
      </x:c>
    </x:row>
    <x:row r="150">
      <x:c r="B150" s="44">
        <x:v>5</x:v>
      </x:c>
      <x:c r="C150" s="58">
        <x:f t="shared" si="153"/>
        <x:v>46173</x:v>
      </x:c>
      <x:c r="D150" s="88">
        <x:f t="shared" si="129"/>
        <x:v>0.19478253979412199</x:v>
      </x:c>
      <x:c r="E150" s="60">
        <x:f t="shared" si="130"/>
        <x:v>0.80521746020587803</x:v>
      </x:c>
      <x:c r="F150" s="50">
        <x:f t="shared" si="131"/>
        <x:v>79518666021.906708</x:v>
      </x:c>
      <x:c r="G150" s="62">
        <x:f t="shared" si="132"/>
        <x:v>328724629840.00696</x:v>
      </x:c>
      <x:c r="J150" s="44">
        <x:f t="shared" si="154"/>
        <x:v>5</x:v>
      </x:c>
      <x:c r="K150" s="58">
        <x:f t="shared" si="155"/>
        <x:v>46173</x:v>
      </x:c>
      <x:c r="L150" s="88">
        <x:f t="shared" si="133"/>
        <x:v>1.6483322490858612E-2</x:v>
      </x:c>
      <x:c r="M150" s="60">
        <x:f t="shared" si="134"/>
        <x:v>0.9835166775091414</x:v>
      </x:c>
      <x:c r="N150" s="50">
        <x:f t="shared" si="135"/>
        <x:v>17726906.53097805</x:v>
      </x:c>
      <x:c r="O150" s="62">
        <x:f t="shared" si="136"/>
        <x:v>1057718079.806522</x:v>
      </x:c>
      <x:c r="R150" s="44">
        <x:v>5</x:v>
      </x:c>
      <x:c r="S150" s="58">
        <x:f t="shared" si="156"/>
        <x:v>46173</x:v>
      </x:c>
      <x:c r="T150" s="88">
        <x:f t="shared" si="137"/>
        <x:v>4.9818866823175795E-2</x:v>
      </x:c>
      <x:c r="U150" s="60">
        <x:f t="shared" si="138"/>
        <x:v>0.95018113317682418</x:v>
      </x:c>
      <x:c r="V150" s="50">
        <x:f t="shared" si="139"/>
        <x:v>7188175.4430466257</x:v>
      </x:c>
      <x:c r="W150" s="62">
        <x:f t="shared" si="140"/>
        <x:v>137098033.80695337</x:v>
      </x:c>
      <x:c r="Y150" s="44">
        <x:v>5</x:v>
      </x:c>
      <x:c r="Z150" s="58">
        <x:f t="shared" si="157"/>
        <x:v>46173</x:v>
      </x:c>
      <x:c r="AA150" s="88">
        <x:f t="shared" si="141"/>
        <x:v>0.6718724464586443</x:v>
      </x:c>
      <x:c r="AB150" s="60">
        <x:f t="shared" si="142"/>
        <x:v>0.3281275535413557</x:v>
      </x:c>
      <x:c r="AC150" s="50">
        <x:f t="shared" si="143"/>
        <x:v>152405323986.41779</x:v>
      </x:c>
      <x:c r="AD150" s="62">
        <x:f t="shared" si="144"/>
        <x:v>74431369183.137238</x:v>
      </x:c>
      <x:c r="AF150" s="44">
        <x:v>5</x:v>
      </x:c>
      <x:c r="AG150" s="58">
        <x:f t="shared" si="158"/>
        <x:v>46173</x:v>
      </x:c>
      <x:c r="AH150" s="88">
        <x:f t="shared" si="145"/>
        <x:v>0.43936105623706972</x:v>
      </x:c>
      <x:c r="AI150" s="60">
        <x:f t="shared" si="146"/>
        <x:v>0.56063894376293022</x:v>
      </x:c>
      <x:c r="AJ150" s="50">
        <x:f t="shared" si="147"/>
        <x:v>15737229548.366251</x:v>
      </x:c>
      <x:c r="AK150" s="62">
        <x:f t="shared" si="148"/>
        <x:v>20081214815.247948</x:v>
      </x:c>
      <x:c r="AM150" s="44">
        <x:v>5</x:v>
      </x:c>
      <x:c r="AN150" s="58">
        <x:f t="shared" si="159"/>
        <x:v>46173</x:v>
      </x:c>
      <x:c r="AO150" s="88">
        <x:f t="shared" si="149"/>
        <x:v>0.93224796313159997</x:v>
      </x:c>
      <x:c r="AP150" s="60">
        <x:f t="shared" si="150"/>
        <x:v>6.7752036868400034E-2</x:v>
      </x:c>
      <x:c r="AQ150" s="50">
        <x:f t="shared" si="151"/>
        <x:v>475324123398.44537</x:v>
      </x:c>
      <x:c r="AR150" s="62">
        <x:f t="shared" si="152"/>
        <x:v>34544647783.140625</x:v>
      </x:c>
    </x:row>
    <x:row r="151">
      <x:c r="B151" s="44">
        <x:v>6</x:v>
      </x:c>
      <x:c r="C151" s="58">
        <x:f t="shared" si="153"/>
        <x:v>46203</x:v>
      </x:c>
      <x:c r="D151" s="88">
        <x:f t="shared" si="129"/>
        <x:v>0.14043004312839422</x:v>
      </x:c>
      <x:c r="E151" s="60">
        <x:f t="shared" si="130"/>
        <x:v>0.85956995687160576</x:v>
      </x:c>
      <x:c r="F151" s="50">
        <x:f t="shared" si="131"/>
        <x:v>57329623644.766335</x:v>
      </x:c>
      <x:c r="G151" s="62">
        <x:f t="shared" si="132"/>
        <x:v>350913672217.14728</x:v>
      </x:c>
      <x:c r="J151" s="44">
        <x:f t="shared" si="154"/>
        <x:v>6</x:v>
      </x:c>
      <x:c r="K151" s="58">
        <x:f t="shared" si="155"/>
        <x:v>46203</x:v>
      </x:c>
      <x:c r="L151" s="88">
        <x:f t="shared" si="133"/>
        <x:v>7.2519317245581111E-3</x:v>
      </x:c>
      <x:c r="M151" s="60">
        <x:f t="shared" si="134"/>
        <x:v>0.99274806827544193</x:v>
      </x:c>
      <x:c r="N151" s="50">
        <x:f t="shared" si="135"/>
        <x:v>7799053.6144378809</x:v>
      </x:c>
      <x:c r="O151" s="62">
        <x:f t="shared" si="136"/>
        <x:v>1067645932.7230622</x:v>
      </x:c>
      <x:c r="R151" s="44">
        <x:v>6</x:v>
      </x:c>
      <x:c r="S151" s="58">
        <x:f t="shared" si="156"/>
        <x:v>46203</x:v>
      </x:c>
      <x:c r="T151" s="88">
        <x:f t="shared" si="137"/>
        <x:v>2.734466541932604E-2</x:v>
      </x:c>
      <x:c r="U151" s="60">
        <x:f t="shared" si="138"/>
        <x:v>0.97265533458067399</x:v>
      </x:c>
      <x:c r="V151" s="50">
        <x:f t="shared" si="139"/>
        <x:v>3945458.116564116</x:v>
      </x:c>
      <x:c r="W151" s="62">
        <x:f t="shared" si="140"/>
        <x:v>140340751.13343588</x:v>
      </x:c>
      <x:c r="Y151" s="44">
        <x:v>6</x:v>
      </x:c>
      <x:c r="Z151" s="58">
        <x:f t="shared" si="157"/>
        <x:v>46203</x:v>
      </x:c>
      <x:c r="AA151" s="88">
        <x:f t="shared" si="141"/>
        <x:v>0.62050344526498236</x:v>
      </x:c>
      <x:c r="AB151" s="60">
        <x:f t="shared" si="142"/>
        <x:v>0.37949655473501764</x:v>
      </x:c>
      <x:c r="AC151" s="50">
        <x:f t="shared" si="143"/>
        <x:v>140752949624.22458</x:v>
      </x:c>
      <x:c r="AD151" s="62">
        <x:f t="shared" si="144"/>
        <x:v>86083743545.330444</x:v>
      </x:c>
      <x:c r="AF151" s="44">
        <x:v>6</x:v>
      </x:c>
      <x:c r="AG151" s="58">
        <x:f t="shared" si="158"/>
        <x:v>46203</x:v>
      </x:c>
      <x:c r="AH151" s="88">
        <x:f t="shared" si="145"/>
        <x:v>0.37272272408244611</x:v>
      </x:c>
      <x:c r="AI151" s="60">
        <x:f t="shared" si="146"/>
        <x:v>0.62727727591755389</x:v>
      </x:c>
      <x:c r="AJ151" s="50">
        <x:f t="shared" si="147"/>
        <x:v>13350348155.601822</x:v>
      </x:c>
      <x:c r="AK151" s="62">
        <x:f t="shared" si="148"/>
        <x:v>22468096208.012375</x:v>
      </x:c>
      <x:c r="AM151" s="44">
        <x:v>6</x:v>
      </x:c>
      <x:c r="AN151" s="58">
        <x:f t="shared" si="159"/>
        <x:v>46203</x:v>
      </x:c>
      <x:c r="AO151" s="88">
        <x:f t="shared" si="149"/>
        <x:v>0.9192586639867838</x:v>
      </x:c>
      <x:c r="AP151" s="60">
        <x:f t="shared" si="150"/>
        <x:v>8.0741336013216203E-2</x:v>
      </x:c>
      <x:c r="AQ151" s="50">
        <x:f t="shared" si="151"/>
        <x:v>468701285404.9679</x:v>
      </x:c>
      <x:c r="AR151" s="62">
        <x:f t="shared" si="152"/>
        <x:v>41167485776.618103</x:v>
      </x:c>
    </x:row>
    <x:row r="152">
      <x:c r="B152" s="44">
        <x:v>7</x:v>
      </x:c>
      <x:c r="C152" s="58">
        <x:f t="shared" si="153"/>
        <x:v>46234</x:v>
      </x:c>
      <x:c r="D152" s="88">
        <x:f t="shared" si="129"/>
        <x:v>0.10124417226455006</x:v>
      </x:c>
      <x:c r="E152" s="60">
        <x:f t="shared" si="130"/>
        <x:v>0.89875582773544993</x:v>
      </x:c>
      <x:c r="F152" s="50">
        <x:f t="shared" si="131"/>
        <x:v>41332254572.091263</x:v>
      </x:c>
      <x:c r="G152" s="62">
        <x:f t="shared" si="132"/>
        <x:v>366911041289.82239</x:v>
      </x:c>
      <x:c r="J152" s="44">
        <x:f t="shared" si="154"/>
        <x:v>7</x:v>
      </x:c>
      <x:c r="K152" s="58">
        <x:f t="shared" si="155"/>
        <x:v>46234</x:v>
      </x:c>
      <x:c r="L152" s="88">
        <x:f t="shared" si="133"/>
        <x:v>3.1905287157257428E-3</x:v>
      </x:c>
      <x:c r="M152" s="60">
        <x:f t="shared" si="134"/>
        <x:v>0.99680947128427422</x:v>
      </x:c>
      <x:c r="N152" s="50">
        <x:f t="shared" si="135"/>
        <x:v>3431238.1110930732</x:v>
      </x:c>
      <x:c r="O152" s="62">
        <x:f t="shared" si="136"/>
        <x:v>1072013748.2264071</x:v>
      </x:c>
      <x:c r="R152" s="44">
        <x:v>7</x:v>
      </x:c>
      <x:c r="S152" s="58">
        <x:f t="shared" si="156"/>
        <x:v>46234</x:v>
      </x:c>
      <x:c r="T152" s="88">
        <x:f t="shared" si="137"/>
        <x:v>1.500898704799606E-2</x:v>
      </x:c>
      <x:c r="U152" s="60">
        <x:f t="shared" si="138"/>
        <x:v>0.98499101295200397</x:v>
      </x:c>
      <x:c r="V152" s="50">
        <x:f t="shared" si="139"/>
        <x:v>2165589.8458376992</x:v>
      </x:c>
      <x:c r="W152" s="62">
        <x:f t="shared" si="140"/>
        <x:v>142120619.40416229</x:v>
      </x:c>
      <x:c r="Y152" s="44">
        <x:v>7</x:v>
      </x:c>
      <x:c r="Z152" s="58">
        <x:f t="shared" si="157"/>
        <x:v>46234</x:v>
      </x:c>
      <x:c r="AA152" s="88">
        <x:f t="shared" si="141"/>
        <x:v>0.57306193700177632</x:v>
      </x:c>
      <x:c r="AB152" s="60">
        <x:f t="shared" si="142"/>
        <x:v>0.42693806299822368</x:v>
      </x:c>
      <x:c r="AC152" s="50">
        <x:f t="shared" si="143"/>
        <x:v>129991474770.8228</x:v>
      </x:c>
      <x:c r="AD152" s="62">
        <x:f t="shared" si="144"/>
        <x:v>96845218398.732224</x:v>
      </x:c>
      <x:c r="AF152" s="44">
        <x:v>7</x:v>
      </x:c>
      <x:c r="AG152" s="58">
        <x:f t="shared" si="158"/>
        <x:v>46234</x:v>
      </x:c>
      <x:c r="AH152" s="88">
        <x:f t="shared" si="145"/>
        <x:v>0.31619149461548962</x:v>
      </x:c>
      <x:c r="AI152" s="60">
        <x:f t="shared" si="146"/>
        <x:v>0.68380850538451043</x:v>
      </x:c>
      <x:c r="AJ152" s="50">
        <x:f t="shared" si="147"/>
        <x:v>11325487458.132933</x:v>
      </x:c>
      <x:c r="AK152" s="62">
        <x:f t="shared" si="148"/>
        <x:v>24492956905.481262</x:v>
      </x:c>
      <x:c r="AM152" s="44">
        <x:v>7</x:v>
      </x:c>
      <x:c r="AN152" s="58">
        <x:f t="shared" si="159"/>
        <x:v>46234</x:v>
      </x:c>
      <x:c r="AO152" s="88">
        <x:f t="shared" si="149"/>
        <x:v>0.90645034876357011</x:v>
      </x:c>
      <x:c r="AP152" s="60">
        <x:f t="shared" si="150"/>
        <x:v>9.3549651236429887E-2</x:v>
      </x:c>
      <x:c r="AQ152" s="50">
        <x:f t="shared" si="151"/>
        <x:v>462170725461.20154</x:v>
      </x:c>
      <x:c r="AR152" s="62">
        <x:f t="shared" si="152"/>
        <x:v>47698045720.38446</x:v>
      </x:c>
    </x:row>
    <x:row r="153">
      <x:c r="B153" s="44">
        <x:v>8</x:v>
      </x:c>
      <x:c r="C153" s="58">
        <x:f t="shared" si="153"/>
        <x:v>46265</x:v>
      </x:c>
      <x:c r="D153" s="88">
        <x:f t="shared" si="129"/>
        <x:v>7.2992802602517406E-2</x:v>
      </x:c>
      <x:c r="E153" s="60">
        <x:f t="shared" si="130"/>
        <x:v>0.92700719739748261</x:v>
      </x:c>
      <x:c r="F153" s="50">
        <x:f t="shared" si="131"/>
        <x:v>29798822308.649773</x:v>
      </x:c>
      <x:c r="G153" s="62">
        <x:f t="shared" si="132"/>
        <x:v>378444473553.26385</x:v>
      </x:c>
      <x:c r="J153" s="44">
        <x:f t="shared" si="154"/>
        <x:v>8</x:v>
      </x:c>
      <x:c r="K153" s="58">
        <x:f t="shared" si="155"/>
        <x:v>46265</x:v>
      </x:c>
      <x:c r="L153" s="88">
        <x:f t="shared" si="133"/>
        <x:v>1.4036913021944967E-3</x:v>
      </x:c>
      <x:c r="M153" s="60">
        <x:f t="shared" si="134"/>
        <x:v>0.99859630869780547</x:v>
      </x:c>
      <x:c r="N153" s="50">
        <x:f t="shared" si="135"/>
        <x:v>1509592.7733106283</x:v>
      </x:c>
      <x:c r="O153" s="62">
        <x:f t="shared" si="136"/>
        <x:v>1073935393.5641894</x:v>
      </x:c>
      <x:c r="R153" s="44">
        <x:v>8</x:v>
      </x:c>
      <x:c r="S153" s="58">
        <x:f t="shared" si="156"/>
        <x:v>46265</x:v>
      </x:c>
      <x:c r="T153" s="88">
        <x:f t="shared" si="137"/>
        <x:v>8.2381586591914295E-3</x:v>
      </x:c>
      <x:c r="U153" s="60">
        <x:f t="shared" si="138"/>
        <x:v>0.99176184134080858</x:v>
      </x:c>
      <x:c r="V153" s="50">
        <x:f t="shared" si="139"/>
        <x:v>1188652.6841347939</x:v>
      </x:c>
      <x:c r="W153" s="62">
        <x:f t="shared" si="140"/>
        <x:v>143097556.56586522</x:v>
      </x:c>
      <x:c r="Y153" s="44">
        <x:v>8</x:v>
      </x:c>
      <x:c r="Z153" s="58">
        <x:f t="shared" si="157"/>
        <x:v>46265</x:v>
      </x:c>
      <x:c r="AA153" s="88">
        <x:f t="shared" si="141"/>
        <x:v>0.52924763939060249</x:v>
      </x:c>
      <x:c r="AB153" s="60">
        <x:f t="shared" si="142"/>
        <x:v>0.47075236060939751</x:v>
      </x:c>
      <x:c r="AC153" s="50">
        <x:f t="shared" si="143"/>
        <x:v>120052784387.15739</x:v>
      </x:c>
      <x:c r="AD153" s="62">
        <x:f t="shared" si="144"/>
        <x:v>106783908782.39763</x:v>
      </x:c>
      <x:c r="AF153" s="44">
        <x:v>8</x:v>
      </x:c>
      <x:c r="AG153" s="58">
        <x:f t="shared" si="158"/>
        <x:v>46265</x:v>
      </x:c>
      <x:c r="AH153" s="88">
        <x:f t="shared" si="145"/>
        <x:v>0.26823441343238924</x:v>
      </x:c>
      <x:c r="AI153" s="60">
        <x:f t="shared" si="146"/>
        <x:v>0.7317655865676107</x:v>
      </x:c>
      <x:c r="AJ153" s="50">
        <x:f t="shared" si="147"/>
        <x:v>9607739413.9347229</x:v>
      </x:c>
      <x:c r="AK153" s="62">
        <x:f t="shared" si="148"/>
        <x:v>26210704949.679474</x:v>
      </x:c>
      <x:c r="AM153" s="44">
        <x:v>8</x:v>
      </x:c>
      <x:c r="AN153" s="58">
        <x:f t="shared" si="159"/>
        <x:v>46265</x:v>
      </x:c>
      <x:c r="AO153" s="88">
        <x:f t="shared" si="149"/>
        <x:v>0.8938204957570145</x:v>
      </x:c>
      <x:c r="AP153" s="60">
        <x:f t="shared" si="150"/>
        <x:v>0.1061795042429855</x:v>
      </x:c>
      <x:c r="AQ153" s="50">
        <x:f t="shared" si="151"/>
        <x:v>455731157828.54498</x:v>
      </x:c>
      <x:c r="AR153" s="62">
        <x:f t="shared" si="152"/>
        <x:v>54137613353.041016</x:v>
      </x:c>
    </x:row>
    <x:row r="154">
      <x:c r="B154" s="44">
        <x:v>9</x:v>
      </x:c>
      <x:c r="C154" s="58">
        <x:f t="shared" si="153"/>
        <x:v>46295</x:v>
      </x:c>
      <x:c r="D154" s="88">
        <x:f t="shared" si="129"/>
        <x:v>5.262474977669028E-2</x:v>
      </x:c>
      <x:c r="E154" s="60">
        <x:f t="shared" si="130"/>
        <x:v>0.94737525022330971</x:v>
      </x:c>
      <x:c r="F154" s="50">
        <x:f t="shared" si="131"/>
        <x:v>21483701292.744545</x:v>
      </x:c>
      <x:c r="G154" s="62">
        <x:f t="shared" si="132"/>
        <x:v>386759594569.16907</x:v>
      </x:c>
      <x:c r="J154" s="44">
        <x:f t="shared" si="154"/>
        <x:v>9</x:v>
      </x:c>
      <x:c r="K154" s="58">
        <x:f t="shared" si="155"/>
        <x:v>46295</x:v>
      </x:c>
      <x:c r="L154" s="88">
        <x:f t="shared" si="133"/>
        <x:v>6.175619928273521E-4</x:v>
      </x:c>
      <x:c r="M154" s="60">
        <x:f t="shared" si="134"/>
        <x:v>0.99938243800717264</x:v>
      </x:c>
      <x:c r="N154" s="50">
        <x:f t="shared" si="135"/>
        <x:v>664153.94893877103</x:v>
      </x:c>
      <x:c r="O154" s="62">
        <x:f t="shared" si="136"/>
        <x:v>1074780832.3885612</x:v>
      </x:c>
      <x:c r="R154" s="44">
        <x:v>9</x:v>
      </x:c>
      <x:c r="S154" s="58">
        <x:f t="shared" si="156"/>
        <x:v>46295</x:v>
      </x:c>
      <x:c r="T154" s="88">
        <x:f t="shared" si="137"/>
        <x:v>4.5217747125094699E-3</x:v>
      </x:c>
      <x:c r="U154" s="60">
        <x:f t="shared" si="138"/>
        <x:v>0.99547822528749053</x:v>
      </x:c>
      <x:c r="V154" s="50">
        <x:f t="shared" si="139"/>
        <x:v>652429.73235049995</x:v>
      </x:c>
      <x:c r="W154" s="62">
        <x:f t="shared" si="140"/>
        <x:v>143633779.5176495</x:v>
      </x:c>
      <x:c r="Y154" s="44">
        <x:v>9</x:v>
      </x:c>
      <x:c r="Z154" s="58">
        <x:f t="shared" si="157"/>
        <x:v>46295</x:v>
      </x:c>
      <x:c r="AA154" s="88">
        <x:f t="shared" si="141"/>
        <x:v>0.48878322867857299</x:v>
      </x:c>
      <x:c r="AB154" s="60">
        <x:f t="shared" si="142"/>
        <x:v>0.51121677132142707</x:v>
      </x:c>
      <x:c r="AC154" s="50">
        <x:f t="shared" si="143"/>
        <x:v>110873971270.18591</x:v>
      </x:c>
      <x:c r="AD154" s="62">
        <x:f t="shared" si="144"/>
        <x:v>115962721899.36911</x:v>
      </x:c>
      <x:c r="AF154" s="44">
        <x:v>9</x:v>
      </x:c>
      <x:c r="AG154" s="58">
        <x:f t="shared" si="158"/>
        <x:v>46295</x:v>
      </x:c>
      <x:c r="AH154" s="88">
        <x:f t="shared" si="145"/>
        <x:v>0.22755103086157857</x:v>
      </x:c>
      <x:c r="AI154" s="60">
        <x:f t="shared" si="146"/>
        <x:v>0.77244896913842143</x:v>
      </x:c>
      <x:c r="AJ154" s="50">
        <x:f t="shared" si="147"/>
        <x:v>8150523938.7985096</x:v>
      </x:c>
      <x:c r="AK154" s="62">
        <x:f t="shared" si="148"/>
        <x:v>27667920424.815689</x:v>
      </x:c>
      <x:c r="AM154" s="44">
        <x:v>9</x:v>
      </x:c>
      <x:c r="AN154" s="58">
        <x:f t="shared" si="159"/>
        <x:v>46295</x:v>
      </x:c>
      <x:c r="AO154" s="88">
        <x:f t="shared" si="149"/>
        <x:v>0.88136661839786734</x:v>
      </x:c>
      <x:c r="AP154" s="60">
        <x:f t="shared" si="150"/>
        <x:v>0.11863338160213266</x:v>
      </x:c>
      <x:c r="AQ154" s="50">
        <x:f t="shared" si="151"/>
        <x:v>449381314682.99042</x:v>
      </x:c>
      <x:c r="AR154" s="62">
        <x:f t="shared" si="152"/>
        <x:v>60487456498.595581</x:v>
      </x:c>
    </x:row>
    <x:row r="155">
      <x:c r="B155" s="44">
        <x:v>10</x:v>
      </x:c>
      <x:c r="C155" s="58">
        <x:f t="shared" si="153"/>
        <x:v>46326</x:v>
      </x:c>
      <x:c r="D155" s="88">
        <x:f t="shared" si="129"/>
        <x:v>3.7940237808648719E-2</x:v>
      </x:c>
      <x:c r="E155" s="60">
        <x:f t="shared" si="130"/>
        <x:v>0.96205976219135125</x:v>
      </x:c>
      <x:c r="F155" s="50">
        <x:f t="shared" si="131"/>
        <x:v>15488847728.78754</x:v>
      </x:c>
      <x:c r="G155" s="62">
        <x:f t="shared" si="132"/>
        <x:v>392754448133.1261</x:v>
      </x:c>
      <x:c r="J155" s="44">
        <x:f t="shared" si="154"/>
        <x:v>10</x:v>
      </x:c>
      <x:c r="K155" s="58">
        <x:f t="shared" si="155"/>
        <x:v>46326</x:v>
      </x:c>
      <x:c r="L155" s="88">
        <x:f t="shared" si="133"/>
        <x:v>2.7169992033764537E-4</x:v>
      </x:c>
      <x:c r="M155" s="60">
        <x:f t="shared" si="134"/>
        <x:v>0.9997283000796624</x:v>
      </x:c>
      <x:c r="N155" s="50">
        <x:f t="shared" si="135"/>
        <x:v>292198.3171154189</x:v>
      </x:c>
      <x:c r="O155" s="62">
        <x:f t="shared" si="136"/>
        <x:v>1075152788.0203848</x:v>
      </x:c>
      <x:c r="R155" s="44">
        <x:v>10</x:v>
      </x:c>
      <x:c r="S155" s="58">
        <x:f t="shared" si="156"/>
        <x:v>46326</x:v>
      </x:c>
      <x:c r="T155" s="88">
        <x:f t="shared" si="137"/>
        <x:v>2.4819194915453257E-3</x:v>
      </x:c>
      <x:c r="U155" s="60">
        <x:f t="shared" si="138"/>
        <x:v>0.9975180805084547</x:v>
      </x:c>
      <x:c r="V155" s="50">
        <x:f t="shared" si="139"/>
        <x:v>358106.75509876246</x:v>
      </x:c>
      <x:c r="W155" s="62">
        <x:f t="shared" si="140"/>
        <x:v>143928102.49490124</x:v>
      </x:c>
      <x:c r="Y155" s="44">
        <x:v>10</x:v>
      </x:c>
      <x:c r="Z155" s="58">
        <x:f t="shared" si="157"/>
        <x:v>46326</x:v>
      </x:c>
      <x:c r="AA155" s="88">
        <x:f t="shared" si="141"/>
        <x:v>0.45141258431032377</x:v>
      </x:c>
      <x:c r="AB155" s="60">
        <x:f t="shared" si="142"/>
        <x:v>0.54858741568967617</x:v>
      </x:c>
      <x:c r="AC155" s="50">
        <x:f t="shared" si="143"/>
        <x:v>102396937880.0768</x:v>
      </x:c>
      <x:c r="AD155" s="62">
        <x:f t="shared" si="144"/>
        <x:v>124439755289.47823</x:v>
      </x:c>
      <x:c r="AF155" s="44">
        <x:v>10</x:v>
      </x:c>
      <x:c r="AG155" s="58">
        <x:f t="shared" si="158"/>
        <x:v>46326</x:v>
      </x:c>
      <x:c r="AH155" s="88">
        <x:f t="shared" si="145"/>
        <x:v>0.19303813773775352</x:v>
      </x:c>
      <x:c r="AI155" s="60">
        <x:f t="shared" si="146"/>
        <x:v>0.80696186226224653</x:v>
      </x:c>
      <x:c r="AJ155" s="50">
        <x:f t="shared" si="147"/>
        <x:v>6914325796.6154184</x:v>
      </x:c>
      <x:c r="AK155" s="62">
        <x:f t="shared" si="148"/>
        <x:v>28904118566.998779</x:v>
      </x:c>
      <x:c r="AM155" s="44">
        <x:v>10</x:v>
      </x:c>
      <x:c r="AN155" s="58">
        <x:f t="shared" si="159"/>
        <x:v>46326</x:v>
      </x:c>
      <x:c r="AO155" s="88">
        <x:f t="shared" si="149"/>
        <x:v>0.86908626476301698</x:v>
      </x:c>
      <x:c r="AP155" s="60">
        <x:f t="shared" si="150"/>
        <x:v>0.13091373523698302</x:v>
      </x:c>
      <x:c r="AQ155" s="50">
        <x:f t="shared" si="151"/>
        <x:v>443119945865.51398</x:v>
      </x:c>
      <x:c r="AR155" s="62">
        <x:f t="shared" si="152"/>
        <x:v>66748825316.072021</x:v>
      </x:c>
    </x:row>
    <x:row r="156">
      <x:c r="B156" s="44">
        <x:v>11</x:v>
      </x:c>
      <x:c r="C156" s="58">
        <x:f t="shared" si="153"/>
        <x:v>46356</x:v>
      </x:c>
      <x:c r="D156" s="88">
        <x:f t="shared" si="129"/>
        <x:v>2.7353320463946715E-2</x:v>
      </x:c>
      <x:c r="E156" s="60">
        <x:f t="shared" si="130"/>
        <x:v>0.97264667953605333</x:v>
      </x:c>
      <x:c r="F156" s="50">
        <x:f t="shared" si="131"/>
        <x:v>11166809698.968735</x:v>
      </x:c>
      <x:c r="G156" s="62">
        <x:f t="shared" si="132"/>
        <x:v>397076486162.94489</x:v>
      </x:c>
      <x:c r="J156" s="44">
        <x:f t="shared" si="154"/>
        <x:v>11</x:v>
      </x:c>
      <x:c r="K156" s="58">
        <x:f t="shared" si="155"/>
        <x:v>46356</x:v>
      </x:c>
      <x:c r="L156" s="88">
        <x:f t="shared" si="133"/>
        <x:v>1.195359292975797E-4</x:v>
      </x:c>
      <x:c r="M156" s="60">
        <x:f t="shared" si="134"/>
        <x:v>0.99988046407070241</x:v>
      </x:c>
      <x:c r="N156" s="50">
        <x:f t="shared" si="135"/>
        <x:v>128554.31585027598</x:v>
      </x:c>
      <x:c r="O156" s="62">
        <x:f t="shared" si="136"/>
        <x:v>1075316432.0216498</x:v>
      </x:c>
      <x:c r="R156" s="44">
        <x:v>11</x:v>
      </x:c>
      <x:c r="S156" s="58">
        <x:f t="shared" si="156"/>
        <x:v>46356</x:v>
      </x:c>
      <x:c r="T156" s="88">
        <x:f t="shared" si="137"/>
        <x:v>1.3622802448497045E-3</x:v>
      </x:c>
      <x:c r="U156" s="60">
        <x:f t="shared" si="138"/>
        <x:v>0.99863771975515025</x:v>
      </x:c>
      <x:c r="V156" s="50">
        <x:f t="shared" si="139"/>
        <x:v>196558.2524655257</x:v>
      </x:c>
      <x:c r="W156" s="62">
        <x:f t="shared" si="140"/>
        <x:v>144089650.99753448</x:v>
      </x:c>
      <x:c r="Y156" s="44">
        <x:v>11</x:v>
      </x:c>
      <x:c r="Z156" s="58">
        <x:f t="shared" si="157"/>
        <x:v>46356</x:v>
      </x:c>
      <x:c r="AA156" s="88">
        <x:f t="shared" si="141"/>
        <x:v>0.41689916780620112</x:v>
      </x:c>
      <x:c r="AB156" s="60">
        <x:f t="shared" si="142"/>
        <x:v>0.58310083219379893</x:v>
      </x:c>
      <x:c r="AC156" s="50">
        <x:f t="shared" si="143"/>
        <x:v>94568028610.29808</x:v>
      </x:c>
      <x:c r="AD156" s="62">
        <x:f t="shared" si="144"/>
        <x:v>132268664559.25694</x:v>
      </x:c>
      <x:c r="AF156" s="44">
        <x:v>11</x:v>
      </x:c>
      <x:c r="AG156" s="58">
        <x:f t="shared" si="158"/>
        <x:v>46356</x:v>
      </x:c>
      <x:c r="AH156" s="88">
        <x:f t="shared" si="145"/>
        <x:v>0.16375984973642144</x:v>
      </x:c>
      <x:c r="AI156" s="60">
        <x:f t="shared" si="146"/>
        <x:v>0.83624015026357856</x:v>
      </x:c>
      <x:c r="AJ156" s="50">
        <x:f t="shared" si="147"/>
        <x:v>5865623066.777832</x:v>
      </x:c>
      <x:c r="AK156" s="62">
        <x:f t="shared" si="148"/>
        <x:v>29952821296.836365</x:v>
      </x:c>
      <x:c r="AM156" s="44">
        <x:v>11</x:v>
      </x:c>
      <x:c r="AN156" s="58">
        <x:f t="shared" si="159"/>
        <x:v>46356</x:v>
      </x:c>
      <x:c r="AO156" s="88">
        <x:f t="shared" si="149"/>
        <x:v>0.85697701709275509</x:v>
      </x:c>
      <x:c r="AP156" s="60">
        <x:f t="shared" si="150"/>
        <x:v>0.14302298290724491</x:v>
      </x:c>
      <x:c r="AQ156" s="50">
        <x:f t="shared" si="151"/>
        <x:v>436945818635.94403</x:v>
      </x:c>
      <x:c r="AR156" s="62">
        <x:f t="shared" si="152"/>
        <x:v>72922952545.641968</x:v>
      </x:c>
    </x:row>
    <x:row r="157">
      <x:c r="B157" s="44">
        <x:v>12</x:v>
      </x:c>
      <x:c r="C157" s="58">
        <x:f t="shared" si="153"/>
        <x:v>46387</x:v>
      </x:c>
      <x:c r="D157" s="88">
        <x:f t="shared" si="129"/>
        <x:v>1.9720597013042664E-2</x:v>
      </x:c>
      <x:c r="E157" s="60">
        <x:f t="shared" si="130"/>
        <x:v>0.98027940298695737</x:v>
      </x:c>
      <x:c r="F157" s="50">
        <x:f t="shared" si="131"/>
        <x:v>8050801520.9691467</x:v>
      </x:c>
      <x:c r="G157" s="62">
        <x:f t="shared" si="132"/>
        <x:v>400192494340.94446</x:v>
      </x:c>
      <x:c r="J157" s="44">
        <x:f t="shared" si="154"/>
        <x:v>12</x:v>
      </x:c>
      <x:c r="K157" s="58">
        <x:f t="shared" si="155"/>
        <x:v>46387</x:v>
      </x:c>
      <x:c r="L157" s="88">
        <x:f t="shared" si="133"/>
        <x:v>5.2590513737652384E-5</x:v>
      </x:c>
      <x:c r="M157" s="60">
        <x:f t="shared" si="134"/>
        <x:v>0.99994740948626237</x:v>
      </x:c>
      <x:c r="N157" s="50">
        <x:f t="shared" si="135"/>
        <x:v>56558.204328071683</x:v>
      </x:c>
      <x:c r="O157" s="62">
        <x:f t="shared" si="136"/>
        <x:v>1075388428.133172</x:v>
      </x:c>
      <x:c r="R157" s="44">
        <x:v>12</x:v>
      </x:c>
      <x:c r="S157" s="58">
        <x:f t="shared" si="156"/>
        <x:v>46387</x:v>
      </x:c>
      <x:c r="T157" s="88">
        <x:f t="shared" si="137"/>
        <x:v>7.4773072689488537E-4</x:v>
      </x:c>
      <x:c r="U157" s="60">
        <x:f t="shared" si="138"/>
        <x:v>0.99925226927310506</x:v>
      </x:c>
      <x:c r="V157" s="50">
        <x:f t="shared" si="139"/>
        <x:v>107887.23212341004</x:v>
      </x:c>
      <x:c r="W157" s="62">
        <x:f t="shared" si="140"/>
        <x:v>144178322.0178766</x:v>
      </x:c>
      <x:c r="Y157" s="44">
        <x:v>12</x:v>
      </x:c>
      <x:c r="Z157" s="58">
        <x:f t="shared" si="157"/>
        <x:v>46387</x:v>
      </x:c>
      <x:c r="AA157" s="88">
        <x:f t="shared" si="141"/>
        <x:v>0.38502452558571293</x:v>
      </x:c>
      <x:c r="AB157" s="60">
        <x:f t="shared" si="142"/>
        <x:v>0.61497547441428702</x:v>
      </x:c>
      <x:c r="AC157" s="50">
        <x:f t="shared" si="143"/>
        <x:v>87337690173.039856</x:v>
      </x:c>
      <x:c r="AD157" s="62">
        <x:f t="shared" si="144"/>
        <x:v>139499002996.51517</x:v>
      </x:c>
      <x:c r="AF157" s="44">
        <x:v>12</x:v>
      </x:c>
      <x:c r="AG157" s="58">
        <x:f t="shared" si="158"/>
        <x:v>46387</x:v>
      </x:c>
      <x:c r="AH157" s="88">
        <x:f t="shared" si="145"/>
        <x:v>0.13892222904743923</x:v>
      </x:c>
      <x:c r="AI157" s="60">
        <x:f t="shared" si="146"/>
        <x:v>0.86107777095256077</x:v>
      </x:c>
      <x:c r="AJ157" s="50">
        <x:f t="shared" si="147"/>
        <x:v>4975978132.0049696</x:v>
      </x:c>
      <x:c r="AK157" s="62">
        <x:f t="shared" si="148"/>
        <x:v>30842466231.609226</x:v>
      </x:c>
      <x:c r="AM157" s="44">
        <x:v>12</x:v>
      </x:c>
      <x:c r="AN157" s="58">
        <x:f t="shared" si="159"/>
        <x:v>46387</x:v>
      </x:c>
      <x:c r="AO157" s="88">
        <x:f t="shared" si="149"/>
        <x:v>0.84503649131476666</x:v>
      </x:c>
      <x:c r="AP157" s="60">
        <x:f t="shared" si="150"/>
        <x:v>0.15496350868523334</x:v>
      </x:c>
      <x:c r="AQ157" s="50">
        <x:f t="shared" si="151"/>
        <x:v>430857717430.25903</x:v>
      </x:c>
      <x:c r="AR157" s="62">
        <x:f t="shared" si="152"/>
        <x:v>79011053751.326965</x:v>
      </x:c>
    </x:row>
    <x:row r="158">
      <x:c r="B158" s="44">
        <x:v>13</x:v>
      </x:c>
      <x:c r="C158" s="58">
        <x:f t="shared" si="153"/>
        <x:v>46418</x:v>
      </x:c>
      <x:c r="D158" s="88">
        <x:f t="shared" si="129"/>
        <x:v>1.4217723477609339E-2</x:v>
      </x:c>
      <x:c r="E158" s="60">
        <x:f t="shared" si="130"/>
        <x:v>0.9857822765223907</x:v>
      </x:c>
      <x:c r="F158" s="50">
        <x:f t="shared" si="131"/>
        <x:v>5804290292.152545</x:v>
      </x:c>
      <x:c r="G158" s="62">
        <x:f t="shared" si="132"/>
        <x:v>402439005569.76111</x:v>
      </x:c>
      <x:c r="J158" s="44">
        <x:f t="shared" si="154"/>
        <x:v>13</x:v>
      </x:c>
      <x:c r="K158" s="58">
        <x:f t="shared" si="155"/>
        <x:v>46418</x:v>
      </x:c>
      <x:c r="L158" s="88">
        <x:f t="shared" si="133"/>
        <x:v>2.3137496411685184E-5</x:v>
      </x:c>
      <x:c r="M158" s="60">
        <x:f t="shared" si="134"/>
        <x:v>0.9999768625035883</x:v>
      </x:c>
      <x:c r="N158" s="50">
        <x:f t="shared" si="135"/>
        <x:v>24883.104512348731</x:v>
      </x:c>
      <x:c r="O158" s="62">
        <x:f t="shared" si="136"/>
        <x:v>1075420103.2329876</x:v>
      </x:c>
      <x:c r="R158" s="44">
        <x:v>13</x:v>
      </x:c>
      <x:c r="S158" s="58">
        <x:f t="shared" si="156"/>
        <x:v>46418</x:v>
      </x:c>
      <x:c r="T158" s="88">
        <x:f t="shared" si="137"/>
        <x:v>4.1041572911045031E-4</x:v>
      </x:c>
      <x:c r="U158" s="60">
        <x:f t="shared" si="138"/>
        <x:v>0.99958958427088951</x:v>
      </x:c>
      <x:c r="V158" s="50">
        <x:f t="shared" si="139"/>
        <x:v>59217.329769921751</x:v>
      </x:c>
      <x:c r="W158" s="62">
        <x:f t="shared" si="140"/>
        <x:v>144226991.92023009</x:v>
      </x:c>
      <x:c r="Y158" s="44">
        <x:v>13</x:v>
      </x:c>
      <x:c r="Z158" s="58">
        <x:f t="shared" si="157"/>
        <x:v>46418</x:v>
      </x:c>
      <x:c r="AA158" s="88">
        <x:f t="shared" si="141"/>
        <x:v>0.35558690625982642</x:v>
      </x:c>
      <x:c r="AB158" s="60">
        <x:f t="shared" si="142"/>
        <x:v>0.64441309374017353</x:v>
      </x:c>
      <x:c r="AC158" s="50">
        <x:f t="shared" si="143"/>
        <x:v>80660157950.371567</x:v>
      </x:c>
      <x:c r="AD158" s="62">
        <x:f t="shared" si="144"/>
        <x:v>146176535219.18347</x:v>
      </x:c>
      <x:c r="AF158" s="44">
        <x:v>13</x:v>
      </x:c>
      <x:c r="AG158" s="58">
        <x:f t="shared" si="158"/>
        <x:v>46418</x:v>
      </x:c>
      <x:c r="AH158" s="88">
        <x:f t="shared" si="145"/>
        <x:v>0.11785175520478537</x:v>
      </x:c>
      <x:c r="AI158" s="60">
        <x:f t="shared" si="146"/>
        <x:v>0.88214824479521459</x:v>
      </x:c>
      <x:c r="AJ158" s="50">
        <x:f t="shared" si="147"/>
        <x:v>4221266536.9568849</x:v>
      </x:c>
      <x:c r="AK158" s="62">
        <x:f t="shared" si="148"/>
        <x:v>31597177826.65731</x:v>
      </x:c>
      <x:c r="AM158" s="44">
        <x:v>13</x:v>
      </x:c>
      <x:c r="AN158" s="58">
        <x:f t="shared" si="159"/>
        <x:v>46418</x:v>
      </x:c>
      <x:c r="AO158" s="88">
        <x:f t="shared" si="149"/>
        <x:v>0.83326233657475368</x:v>
      </x:c>
      <x:c r="AP158" s="60">
        <x:f t="shared" si="150"/>
        <x:v>0.16673766342524632</x:v>
      </x:c>
      <x:c r="AQ158" s="50">
        <x:f t="shared" si="151"/>
        <x:v>424854443621.26678</x:v>
      </x:c>
      <x:c r="AR158" s="62">
        <x:f t="shared" si="152"/>
        <x:v>85014327560.319214</x:v>
      </x:c>
    </x:row>
    <x:row r="159">
      <x:c r="B159" s="44">
        <x:v>14</x:v>
      </x:c>
      <x:c r="C159" s="58">
        <x:f t="shared" si="153"/>
        <x:v>46446</x:v>
      </x:c>
      <x:c r="D159" s="88">
        <x:f t="shared" si="129"/>
        <x:v>1.0250382417533887E-2</x:v>
      </x:c>
      <x:c r="E159" s="60">
        <x:f t="shared" si="130"/>
        <x:v>0.98974961758246616</x:v>
      </x:c>
      <x:c r="F159" s="50">
        <x:f t="shared" si="131"/>
        <x:v>4184649901.979044</x:v>
      </x:c>
      <x:c r="G159" s="62">
        <x:f t="shared" si="132"/>
        <x:v>404058645959.93457</x:v>
      </x:c>
      <x:c r="J159" s="44">
        <x:f t="shared" si="154"/>
        <x:v>14</x:v>
      </x:c>
      <x:c r="K159" s="58">
        <x:f t="shared" si="155"/>
        <x:v>46446</x:v>
      </x:c>
      <x:c r="L159" s="88">
        <x:f t="shared" si="133"/>
        <x:v>1.0179473485870558E-5</x:v>
      </x:c>
      <x:c r="M159" s="60">
        <x:f t="shared" si="134"/>
        <x:v>0.99998982052651408</x:v>
      </x:c>
      <x:c r="N159" s="50">
        <x:f t="shared" si="135"/>
        <x:v>10947.463723935007</x:v>
      </x:c>
      <x:c r="O159" s="62">
        <x:f t="shared" si="136"/>
        <x:v>1075434038.8737762</x:v>
      </x:c>
      <x:c r="R159" s="44">
        <x:v>14</x:v>
      </x:c>
      <x:c r="S159" s="58">
        <x:f t="shared" si="156"/>
        <x:v>46446</x:v>
      </x:c>
      <x:c r="T159" s="88">
        <x:f t="shared" si="137"/>
        <x:v>2.2526969220691348E-4</x:v>
      </x:c>
      <x:c r="U159" s="60">
        <x:f t="shared" si="138"/>
        <x:v>0.99977473030779307</x:v>
      </x:c>
      <x:c r="V159" s="50">
        <x:f t="shared" si="139"/>
        <x:v>32503.309947449812</x:v>
      </x:c>
      <x:c r="W159" s="62">
        <x:f t="shared" si="140"/>
        <x:v>144253705.94005254</x:v>
      </x:c>
      <x:c r="Y159" s="44">
        <x:v>14</x:v>
      </x:c>
      <x:c r="Z159" s="58">
        <x:f t="shared" si="157"/>
        <x:v>46446</x:v>
      </x:c>
      <x:c r="AA159" s="88">
        <x:f t="shared" si="141"/>
        <x:v>0.32839998364022782</x:v>
      </x:c>
      <x:c r="AB159" s="60">
        <x:f t="shared" si="142"/>
        <x:v>0.67160001635977218</x:v>
      </x:c>
      <x:c r="AC159" s="50">
        <x:f t="shared" si="143"/>
        <x:v>74493166325.885254</x:v>
      </x:c>
      <x:c r="AD159" s="62">
        <x:f t="shared" si="144"/>
        <x:v>152343526843.66977</x:v>
      </x:c>
      <x:c r="AF159" s="44">
        <x:v>14</x:v>
      </x:c>
      <x:c r="AG159" s="58">
        <x:f t="shared" si="158"/>
        <x:v>46446</x:v>
      </x:c>
      <x:c r="AH159" s="88">
        <x:f t="shared" si="145"/>
        <x:v>9.9977061267177189E-2</x:v>
      </x:c>
      <x:c r="AI159" s="60">
        <x:f t="shared" si="146"/>
        <x:v>0.9000229387328228</x:v>
      </x:c>
      <x:c r="AJ159" s="50">
        <x:f t="shared" si="147"/>
        <x:v>3581022806.636034</x:v>
      </x:c>
      <x:c r="AK159" s="62">
        <x:f t="shared" si="148"/>
        <x:v>32237421556.978165</x:v>
      </x:c>
      <x:c r="AM159" s="44">
        <x:v>14</x:v>
      </x:c>
      <x:c r="AN159" s="58">
        <x:f t="shared" si="159"/>
        <x:v>46446</x:v>
      </x:c>
      <x:c r="AO159" s="88">
        <x:f t="shared" si="149"/>
        <x:v>0.82165223477359794</x:v>
      </x:c>
      <x:c r="AP159" s="60">
        <x:f t="shared" si="150"/>
        <x:v>0.17834776522640206</x:v>
      </x:c>
      <x:c r="AQ159" s="50">
        <x:f t="shared" si="151"/>
        <x:v>418934815282.61841</x:v>
      </x:c>
      <x:c r="AR159" s="62">
        <x:f t="shared" si="152"/>
        <x:v>90933955898.96759</x:v>
      </x:c>
    </x:row>
    <x:row r="160">
      <x:c r="B160" s="44">
        <x:v>15</x:v>
      </x:c>
      <x:c r="C160" s="58">
        <x:f t="shared" si="153"/>
        <x:v>46477</x:v>
      </x:c>
      <x:c r="D160" s="88">
        <x:f t="shared" si="129"/>
        <x:v>7.3900958807615698E-3</x:v>
      </x:c>
      <x:c r="E160" s="60">
        <x:f t="shared" si="130"/>
        <x:v>0.99260990411923844</x:v>
      </x:c>
      <x:c r="F160" s="50">
        <x:f t="shared" si="131"/>
        <x:v>3016957099.0976548</x:v>
      </x:c>
      <x:c r="G160" s="62">
        <x:f t="shared" si="132"/>
        <x:v>405226338762.81598</x:v>
      </x:c>
      <x:c r="J160" s="44">
        <x:f t="shared" si="154"/>
        <x:v>15</x:v>
      </x:c>
      <x:c r="K160" s="58">
        <x:f t="shared" si="155"/>
        <x:v>46477</x:v>
      </x:c>
      <x:c r="L160" s="88">
        <x:f t="shared" si="133"/>
        <x:v>4.4785174076659997E-6</x:v>
      </x:c>
      <x:c r="M160" s="60">
        <x:f t="shared" si="134"/>
        <x:v>0.9999955214825923</x:v>
      </x:c>
      <x:c r="N160" s="50">
        <x:f t="shared" si="135"/>
        <x:v>4816.3990922996172</x:v>
      </x:c>
      <x:c r="O160" s="62">
        <x:f t="shared" si="136"/>
        <x:v>1075440169.9384079</x:v>
      </x:c>
      <x:c r="R160" s="44">
        <x:v>15</x:v>
      </x:c>
      <x:c r="S160" s="58">
        <x:f t="shared" si="156"/>
        <x:v>46477</x:v>
      </x:c>
      <x:c r="T160" s="88">
        <x:f t="shared" si="137"/>
        <x:v>1.2364641661514065E-4</x:v>
      </x:c>
      <x:c r="U160" s="60">
        <x:f t="shared" si="138"/>
        <x:v>0.99987635358338489</x:v>
      </x:c>
      <x:c r="V160" s="50">
        <x:f t="shared" si="139"/>
        <x:v>17840.472740744859</x:v>
      </x:c>
      <x:c r="W160" s="62">
        <x:f t="shared" si="140"/>
        <x:v>144268368.77725926</x:v>
      </x:c>
      <x:c r="Y160" s="44">
        <x:v>15</x:v>
      </x:c>
      <x:c r="Z160" s="58">
        <x:f t="shared" si="157"/>
        <x:v>46477</x:v>
      </x:c>
      <x:c r="AA160" s="88">
        <x:f t="shared" si="141"/>
        <x:v>0.30329167738279628</x:v>
      </x:c>
      <x:c r="AB160" s="60">
        <x:f t="shared" si="142"/>
        <x:v>0.69670832261720372</x:v>
      </x:c>
      <x:c r="AC160" s="50">
        <x:f t="shared" si="143"/>
        <x:v>68797681163.361023</x:v>
      </x:c>
      <x:c r="AD160" s="62">
        <x:f t="shared" si="144"/>
        <x:v>158039012006.194</x:v>
      </x:c>
      <x:c r="AF160" s="44">
        <x:v>15</x:v>
      </x:c>
      <x:c r="AG160" s="58">
        <x:f t="shared" si="158"/>
        <x:v>46477</x:v>
      </x:c>
      <x:c r="AH160" s="88">
        <x:f t="shared" si="145"/>
        <x:v>8.4813440090496323E-2</x:v>
      </x:c>
      <x:c r="AI160" s="60">
        <x:f t="shared" si="146"/>
        <x:v>0.91518655990950371</x:v>
      </x:c>
      <x:c r="AJ160" s="50">
        <x:f t="shared" si="147"/>
        <x:v>3037885485.1681685</x:v>
      </x:c>
      <x:c r="AK160" s="62">
        <x:f t="shared" si="148"/>
        <x:v>32780558878.44603</x:v>
      </x:c>
      <x:c r="AM160" s="44">
        <x:v>15</x:v>
      </x:c>
      <x:c r="AN160" s="58">
        <x:f t="shared" si="159"/>
        <x:v>46477</x:v>
      </x:c>
      <x:c r="AO160" s="88">
        <x:f t="shared" si="149"/>
        <x:v>0.81020390011097299</x:v>
      </x:c>
      <x:c r="AP160" s="60">
        <x:f t="shared" si="150"/>
        <x:v>0.18979609988902701</x:v>
      </x:c>
      <x:c r="AQ160" s="50">
        <x:f t="shared" si="151"/>
        <x:v>413097666956.11023</x:v>
      </x:c>
      <x:c r="AR160" s="62">
        <x:f t="shared" si="152"/>
        <x:v>96771104225.475769</x:v>
      </x:c>
    </x:row>
    <x:row r="161">
      <x:c r="B161" s="44">
        <x:v>16</x:v>
      </x:c>
      <x:c r="C161" s="58">
        <x:f t="shared" si="153"/>
        <x:v>46507</x:v>
      </x:c>
      <x:c r="D161" s="88">
        <x:f t="shared" si="129"/>
        <x:v>5.3279492317700721E-3</x:v>
      </x:c>
      <x:c r="E161" s="60">
        <x:f t="shared" si="130"/>
        <x:v>0.99467205076822995</x:v>
      </x:c>
      <x:c r="F161" s="50">
        <x:f t="shared" si="131"/>
        <x:v>2175099554.5627651</x:v>
      </x:c>
      <x:c r="G161" s="62">
        <x:f t="shared" si="132"/>
        <x:v>406068196307.35089</x:v>
      </x:c>
      <x:c r="J161" s="44">
        <x:f t="shared" si="154"/>
        <x:v>16</x:v>
      </x:c>
      <x:c r="K161" s="58">
        <x:f t="shared" si="155"/>
        <x:v>46507</x:v>
      </x:c>
      <x:c r="L161" s="88">
        <x:f t="shared" si="133"/>
        <x:v>1.9703492718564821E-6</x:v>
      </x:c>
      <x:c r="M161" s="60">
        <x:f t="shared" si="134"/>
        <x:v>0.99999802965072815</x:v>
      </x:c>
      <x:c r="N161" s="50">
        <x:f t="shared" si="135"/>
        <x:v>2119.0022457517975</x:v>
      </x:c>
      <x:c r="O161" s="62">
        <x:f t="shared" si="136"/>
        <x:v>1075442867.3352544</x:v>
      </x:c>
      <x:c r="R161" s="44">
        <x:v>16</x:v>
      </x:c>
      <x:c r="S161" s="58">
        <x:f t="shared" si="156"/>
        <x:v>46507</x:v>
      </x:c>
      <x:c r="T161" s="88">
        <x:f t="shared" si="137"/>
        <x:v>6.7867258094010742E-5</x:v>
      </x:c>
      <x:c r="U161" s="60">
        <x:f t="shared" si="138"/>
        <x:v>0.99993213274190595</x:v>
      </x:c>
      <x:c r="V161" s="50">
        <x:f t="shared" si="139"/>
        <x:v>9792.3094025761893</x:v>
      </x:c>
      <x:c r="W161" s="62">
        <x:f t="shared" si="140"/>
        <x:v>144276416.94059741</x:v>
      </x:c>
      <x:c r="Y161" s="44">
        <x:v>16</x:v>
      </x:c>
      <x:c r="Z161" s="58">
        <x:f t="shared" si="157"/>
        <x:v>46507</x:v>
      </x:c>
      <x:c r="AA161" s="88">
        <x:f t="shared" si="141"/>
        <x:v>0.28010306380052524</x:v>
      </x:c>
      <x:c r="AB161" s="60">
        <x:f t="shared" si="142"/>
        <x:v>0.7198969361994747</x:v>
      </x:c>
      <x:c r="AC161" s="50">
        <x:f t="shared" si="143"/>
        <x:v>63537652739.172043</x:v>
      </x:c>
      <x:c r="AD161" s="62">
        <x:f t="shared" si="144"/>
        <x:v>163299040430.383</x:v>
      </x:c>
      <x:c r="AF161" s="44">
        <x:v>16</x:v>
      </x:c>
      <x:c r="AG161" s="58">
        <x:f t="shared" si="158"/>
        <x:v>46507</x:v>
      </x:c>
      <x:c r="AH161" s="88">
        <x:f t="shared" si="145"/>
        <x:v>7.1949700549417933E-2</x:v>
      </x:c>
      <x:c r="AI161" s="60">
        <x:f t="shared" si="146"/>
        <x:v>0.92805029945058204</x:v>
      </x:c>
      <x:c r="AJ161" s="50">
        <x:f t="shared" si="147"/>
        <x:v>2577126346.1080279</x:v>
      </x:c>
      <x:c r="AK161" s="62">
        <x:f t="shared" si="148"/>
        <x:v>33241318017.506168</x:v>
      </x:c>
      <x:c r="AM161" s="44">
        <x:v>16</x:v>
      </x:c>
      <x:c r="AN161" s="58">
        <x:f t="shared" si="159"/>
        <x:v>46507</x:v>
      </x:c>
      <x:c r="AO161" s="88">
        <x:f t="shared" si="149"/>
        <x:v>0.7989150786353153</x:v>
      </x:c>
      <x:c r="AP161" s="60">
        <x:f t="shared" si="150"/>
        <x:v>0.2010849213646847</x:v>
      </x:c>
      <x:c r="AQ161" s="50">
        <x:f t="shared" si="151"/>
        <x:v>407341849422.22833</x:v>
      </x:c>
      <x:c r="AR161" s="62">
        <x:f t="shared" si="152"/>
        <x:v>102526921759.35767</x:v>
      </x:c>
    </x:row>
    <x:row r="162">
      <x:c r="B162" s="44">
        <x:v>17</x:v>
      </x:c>
      <x:c r="C162" s="58">
        <x:f t="shared" si="153"/>
        <x:v>46538</x:v>
      </x:c>
      <x:c r="D162" s="88">
        <x:f t="shared" si="129"/>
        <x:v>3.8412279724568256E-3</x:v>
      </x:c>
      <x:c r="E162" s="60">
        <x:f t="shared" si="130"/>
        <x:v>0.99615877202754322</x:v>
      </x:c>
      <x:c r="F162" s="50">
        <x:f t="shared" si="131"/>
        <x:v>1568155567.6327505</x:v>
      </x:c>
      <x:c r="G162" s="62">
        <x:f t="shared" si="132"/>
        <x:v>406675140294.28088</x:v>
      </x:c>
      <x:c r="J162" s="44">
        <x:f t="shared" si="154"/>
        <x:v>17</x:v>
      </x:c>
      <x:c r="K162" s="58">
        <x:f t="shared" si="155"/>
        <x:v>46538</x:v>
      </x:c>
      <x:c r="L162" s="88">
        <x:f t="shared" si="133"/>
        <x:v>8.6686639789765512E-7</x:v>
      </x:c>
      <x:c r="M162" s="60">
        <x:f t="shared" si="134"/>
        <x:v>0.99999913313360211</x:v>
      </x:c>
      <x:c r="N162" s="50">
        <x:f t="shared" si="135"/>
        <x:v>932.26712144348164</x:v>
      </x:c>
      <x:c r="O162" s="62">
        <x:f t="shared" si="136"/>
        <x:v>1075444054.0703785</x:v>
      </x:c>
      <x:c r="R162" s="44">
        <x:v>17</x:v>
      </x:c>
      <x:c r="S162" s="58">
        <x:f t="shared" si="156"/>
        <x:v>46538</x:v>
      </x:c>
      <x:c r="T162" s="88">
        <x:f t="shared" si="137"/>
        <x:v>3.7251097502772762E-5</x:v>
      </x:c>
      <x:c r="U162" s="60">
        <x:f t="shared" si="138"/>
        <x:v>0.99996274890249726</x:v>
      </x:c>
      <x:c r="V162" s="50">
        <x:f t="shared" si="139"/>
        <x:v>5374.8196490772234</x:v>
      </x:c>
      <x:c r="W162" s="62">
        <x:f t="shared" si="140"/>
        <x:v>144280834.43035093</x:v>
      </x:c>
      <x:c r="Y162" s="44">
        <x:v>17</x:v>
      </x:c>
      <x:c r="Z162" s="58">
        <x:f t="shared" si="157"/>
        <x:v>46538</x:v>
      </x:c>
      <x:c r="AA162" s="88">
        <x:f t="shared" si="141"/>
        <x:v>0.25868736995185182</x:v>
      </x:c>
      <x:c r="AB162" s="60">
        <x:f t="shared" si="142"/>
        <x:v>0.74131263004814818</x:v>
      </x:c>
      <x:c r="AC162" s="50">
        <x:f t="shared" si="143"/>
        <x:v>58679787564.607376</x:v>
      </x:c>
      <x:c r="AD162" s="62">
        <x:f t="shared" si="144"/>
        <x:v>168156905604.94763</x:v>
      </x:c>
      <x:c r="AF162" s="44">
        <x:v>17</x:v>
      </x:c>
      <x:c r="AG162" s="58">
        <x:f t="shared" si="158"/>
        <x:v>46538</x:v>
      </x:c>
      <x:c r="AH162" s="88">
        <x:f t="shared" si="145"/>
        <x:v>6.1037017289091035E-2</x:v>
      </x:c>
      <x:c r="AI162" s="60">
        <x:f t="shared" si="146"/>
        <x:v>0.93896298271090894</x:v>
      </x:c>
      <x:c r="AJ162" s="50">
        <x:f t="shared" si="147"/>
        <x:v>2186251007.890265</x:v>
      </x:c>
      <x:c r="AK162" s="62">
        <x:f t="shared" si="148"/>
        <x:v>33632193355.72393</x:v>
      </x:c>
      <x:c r="AM162" s="44">
        <x:v>17</x:v>
      </x:c>
      <x:c r="AN162" s="58">
        <x:f t="shared" si="159"/>
        <x:v>46538</x:v>
      </x:c>
      <x:c r="AO162" s="88">
        <x:f t="shared" si="149"/>
        <x:v>0.78778354780006521</x:v>
      </x:c>
      <x:c r="AP162" s="60">
        <x:f t="shared" si="150"/>
        <x:v>0.21221645219993479</x:v>
      </x:c>
      <x:c r="AQ162" s="50">
        <x:f t="shared" si="151"/>
        <x:v>401666229473.88947</x:v>
      </x:c>
      <x:c r="AR162" s="62">
        <x:f t="shared" si="152"/>
        <x:v>108202541707.69653</x:v>
      </x:c>
    </x:row>
    <x:row r="163">
      <x:c r="B163" s="44">
        <x:v>18</x:v>
      </x:c>
      <x:c r="C163" s="58">
        <x:f t="shared" si="153"/>
        <x:v>46568</x:v>
      </x:c>
      <x:c r="D163" s="88">
        <x:f t="shared" si="129"/>
        <x:v>2.7693642890592634E-3</x:v>
      </x:c>
      <x:c r="E163" s="60">
        <x:f t="shared" si="130"/>
        <x:v>0.99723063571094073</x:v>
      </x:c>
      <x:c r="F163" s="50">
        <x:f t="shared" si="131"/>
        <x:v>1130574404.8078389</x:v>
      </x:c>
      <x:c r="G163" s="62">
        <x:f t="shared" si="132"/>
        <x:v>407112721457.10577</x:v>
      </x:c>
      <x:c r="J163" s="44">
        <x:f t="shared" si="154"/>
        <x:v>18</x:v>
      </x:c>
      <x:c r="K163" s="58">
        <x:f t="shared" si="155"/>
        <x:v>46568</x:v>
      </x:c>
      <x:c r="L163" s="88">
        <x:f t="shared" si="133"/>
        <x:v>3.8138281498489045E-7</x:v>
      </x:c>
      <x:c r="M163" s="60">
        <x:f t="shared" si="134"/>
        <x:v>0.999999618617185</x:v>
      </x:c>
      <x:c r="N163" s="50">
        <x:f t="shared" si="135"/>
        <x:v>410.15623625078285</x:v>
      </x:c>
      <x:c r="O163" s="62">
        <x:f t="shared" si="136"/>
        <x:v>1075444576.1812639</x:v>
      </x:c>
      <x:c r="R163" s="44">
        <x:v>18</x:v>
      </x:c>
      <x:c r="S163" s="58">
        <x:f t="shared" si="156"/>
        <x:v>46568</x:v>
      </x:c>
      <x:c r="T163" s="88">
        <x:f t="shared" si="137"/>
        <x:v>2.0446446550690096E-5</x:v>
      </x:c>
      <x:c r="U163" s="60">
        <x:f t="shared" si="138"/>
        <x:v>0.99997955355344936</x:v>
      </x:c>
      <x:c r="V163" s="50">
        <x:f t="shared" si="139"/>
        <x:v>2950.1402654318117</x:v>
      </x:c>
      <x:c r="W163" s="62">
        <x:f t="shared" si="140"/>
        <x:v>144283259.10973457</x:v>
      </x:c>
      <x:c r="Y163" s="44">
        <x:v>18</x:v>
      </x:c>
      <x:c r="Z163" s="58">
        <x:f t="shared" si="157"/>
        <x:v>46568</x:v>
      </x:c>
      <x:c r="AA163" s="88">
        <x:f t="shared" si="141"/>
        <x:v>0.23890904463745019</x:v>
      </x:c>
      <x:c r="AB163" s="60">
        <x:f t="shared" si="142"/>
        <x:v>0.76109095536254978</x:v>
      </x:c>
      <x:c r="AC163" s="50">
        <x:f t="shared" si="143"/>
        <x:v>54193337653.856812</x:v>
      </x:c>
      <x:c r="AD163" s="62">
        <x:f t="shared" si="144"/>
        <x:v>172643355515.69821</x:v>
      </x:c>
      <x:c r="AF163" s="44">
        <x:v>18</x:v>
      </x:c>
      <x:c r="AG163" s="58">
        <x:f t="shared" si="158"/>
        <x:v>46568</x:v>
      </x:c>
      <x:c r="AH163" s="88">
        <x:f t="shared" si="145"/>
        <x:v>5.1779471646167079E-2</x:v>
      </x:c>
      <x:c r="AI163" s="60">
        <x:f t="shared" si="146"/>
        <x:v>0.94822052835383297</x:v>
      </x:c>
      <x:c r="AJ163" s="50">
        <x:f t="shared" si="147"/>
        <x:v>1854660124.3355744</x:v>
      </x:c>
      <x:c r="AK163" s="62">
        <x:f t="shared" si="148"/>
        <x:v>33963784239.278622</x:v>
      </x:c>
      <x:c r="AM163" s="44">
        <x:v>18</x:v>
      </x:c>
      <x:c r="AN163" s="58">
        <x:f t="shared" si="159"/>
        <x:v>46568</x:v>
      </x:c>
      <x:c r="AO163" s="88">
        <x:f t="shared" si="149"/>
        <x:v>0.77680711602609187</x:v>
      </x:c>
      <x:c r="AP163" s="60">
        <x:f t="shared" si="150"/>
        <x:v>0.22319288397390813</x:v>
      </x:c>
      <x:c r="AQ163" s="50">
        <x:f t="shared" si="151"/>
        <x:v>396069689693.33514</x:v>
      </x:c>
      <x:c r="AR163" s="62">
        <x:f t="shared" si="152"/>
        <x:v>113799081488.25085</x:v>
      </x:c>
    </x:row>
    <x:row r="164">
      <x:c r="B164" s="44">
        <x:v>19</x:v>
      </x:c>
      <x:c r="C164" s="58">
        <x:f t="shared" si="153"/>
        <x:v>46599</x:v>
      </x:c>
      <x:c r="D164" s="88">
        <x:f t="shared" si="129"/>
        <x:v>1.9965955211482624E-3</x:v>
      </x:c>
      <x:c r="E164" s="60">
        <x:f t="shared" si="130"/>
        <x:v>0.99800340447885172</x:v>
      </x:c>
      <x:c r="F164" s="50">
        <x:f t="shared" si="131"/>
        <x:v>815096736.05670178</x:v>
      </x:c>
      <x:c r="G164" s="62">
        <x:f t="shared" si="132"/>
        <x:v>407428199125.85693</x:v>
      </x:c>
      <x:c r="J164" s="44">
        <x:f t="shared" si="154"/>
        <x:v>19</x:v>
      </x:c>
      <x:c r="K164" s="58">
        <x:f t="shared" si="155"/>
        <x:v>46599</x:v>
      </x:c>
      <x:c r="L164" s="88">
        <x:f t="shared" si="133"/>
        <x:v>1.6779154425474893E-7</x:v>
      </x:c>
      <x:c r="M164" s="60">
        <x:f t="shared" si="134"/>
        <x:v>0.99999983220845579</x:v>
      </x:c>
      <x:c r="N164" s="50">
        <x:f t="shared" si="135"/>
        <x:v>180.45057501859651</x:v>
      </x:c>
      <x:c r="O164" s="62">
        <x:f t="shared" si="136"/>
        <x:v>1075444805.886925</x:v>
      </x:c>
      <x:c r="R164" s="44">
        <x:v>19</x:v>
      </x:c>
      <x:c r="S164" s="58">
        <x:f t="shared" si="156"/>
        <x:v>46599</x:v>
      </x:c>
      <x:c r="T164" s="88">
        <x:f t="shared" si="137"/>
        <x:v>1.1222680795354014E-5</x:v>
      </x:c>
      <x:c r="U164" s="60">
        <x:f t="shared" si="138"/>
        <x:v>0.99998877731920466</x:v>
      </x:c>
      <x:c r="V164" s="50">
        <x:f t="shared" si="139"/>
        <x:v>1619.2780695844058</x:v>
      </x:c>
      <x:c r="W164" s="62">
        <x:f t="shared" si="140"/>
        <x:v>144284589.97193041</x:v>
      </x:c>
      <x:c r="Y164" s="44">
        <x:v>19</x:v>
      </x:c>
      <x:c r="Z164" s="58">
        <x:f t="shared" si="157"/>
        <x:v>46599</x:v>
      </x:c>
      <x:c r="AA164" s="88">
        <x:f t="shared" si="141"/>
        <x:v>0.2206429004253386</x:v>
      </x:c>
      <x:c r="AB164" s="60">
        <x:f t="shared" si="142"/>
        <x:v>0.77935709957466137</x:v>
      </x:c>
      <x:c r="AC164" s="50">
        <x:f t="shared" si="143"/>
        <x:v>50049905903.823212</x:v>
      </x:c>
      <x:c r="AD164" s="62">
        <x:f t="shared" si="144"/>
        <x:v>176786787265.73181</x:v>
      </x:c>
      <x:c r="AF164" s="44">
        <x:v>19</x:v>
      </x:c>
      <x:c r="AG164" s="58">
        <x:f t="shared" si="158"/>
        <x:v>46599</x:v>
      </x:c>
      <x:c r="AH164" s="88">
        <x:f t="shared" si="145"/>
        <x:v>4.3926027237825203E-2</x:v>
      </x:c>
      <x:c r="AI164" s="60">
        <x:f t="shared" si="146"/>
        <x:v>0.95607397276217476</x:v>
      </x:c>
      <x:c r="AJ164" s="50">
        <x:f t="shared" si="147"/>
        <x:v>1573361962.7326438</x:v>
      </x:c>
      <x:c r="AK164" s="62">
        <x:f t="shared" si="148"/>
        <x:v>34245082400.881554</x:v>
      </x:c>
      <x:c r="AM164" s="44">
        <x:v>19</x:v>
      </x:c>
      <x:c r="AN164" s="58">
        <x:f t="shared" si="159"/>
        <x:v>46599</x:v>
      </x:c>
      <x:c r="AO164" s="88">
        <x:f t="shared" si="149"/>
        <x:v>0.76598362227021388</x:v>
      </x:c>
      <x:c r="AP164" s="60">
        <x:f t="shared" si="150"/>
        <x:v>0.23401637772978612</x:v>
      </x:c>
      <x:c r="AQ164" s="50">
        <x:f t="shared" si="151"/>
        <x:v>390551128232.13409</x:v>
      </x:c>
      <x:c r="AR164" s="62">
        <x:f t="shared" si="152"/>
        <x:v>119317642949.4519</x:v>
      </x:c>
    </x:row>
    <x:row r="165">
      <x:c r="B165" s="44">
        <x:v>20</x:v>
      </x:c>
      <x:c r="C165" s="58">
        <x:f t="shared" si="153"/>
        <x:v>46630</x:v>
      </x:c>
      <x:c r="D165" s="88">
        <x:f t="shared" si="129"/>
        <x:v>1.4394616449768176E-3</x:v>
      </x:c>
      <x:c r="E165" s="60">
        <x:f t="shared" si="130"/>
        <x:v>0.99856053835502323</x:v>
      </x:c>
      <x:c r="F165" s="50">
        <x:f t="shared" si="131"/>
        <x:v>587650566.21214783</x:v>
      </x:c>
      <x:c r="G165" s="62">
        <x:f t="shared" si="132"/>
        <x:v>407655645295.70148</x:v>
      </x:c>
      <x:c r="J165" s="44">
        <x:f t="shared" si="154"/>
        <x:v>20</x:v>
      </x:c>
      <x:c r="K165" s="58">
        <x:f t="shared" si="155"/>
        <x:v>46630</x:v>
      </x:c>
      <x:c r="L165" s="88">
        <x:f t="shared" si="133"/>
        <x:v>7.3820846711482841E-8</x:v>
      </x:c>
      <x:c r="M165" s="60">
        <x:f t="shared" si="134"/>
        <x:v>0.99999992617915334</x:v>
      </x:c>
      <x:c r="N165" s="50">
        <x:f t="shared" si="135"/>
        <x:v>79.390259483053356</x:v>
      </x:c>
      <x:c r="O165" s="62">
        <x:f t="shared" si="136"/>
        <x:v>1075444906.9472406</x:v>
      </x:c>
      <x:c r="R165" s="44">
        <x:v>20</x:v>
      </x:c>
      <x:c r="S165" s="58">
        <x:f t="shared" si="156"/>
        <x:v>46630</x:v>
      </x:c>
      <x:c r="T165" s="88">
        <x:f t="shared" si="137"/>
        <x:v>6.1599243625126076E-6</x:v>
      </x:c>
      <x:c r="U165" s="60">
        <x:f t="shared" si="138"/>
        <x:v>0.99999384007563752</x:v>
      </x:c>
      <x:c r="V165" s="50">
        <x:f t="shared" si="139"/>
        <x:v>888.79213553366696</x:v>
      </x:c>
      <x:c r="W165" s="62">
        <x:f t="shared" si="140"/>
        <x:v>144285320.45786446</x:v>
      </x:c>
      <x:c r="Y165" s="44">
        <x:v>20</x:v>
      </x:c>
      <x:c r="Z165" s="58">
        <x:f t="shared" si="157"/>
        <x:v>46630</x:v>
      </x:c>
      <x:c r="AA165" s="88">
        <x:f t="shared" si="141"/>
        <x:v>0.20377332127372519</x:v>
      </x:c>
      <x:c r="AB165" s="60">
        <x:f t="shared" si="142"/>
        <x:v>0.79622667872627484</x:v>
      </x:c>
      <x:c r="AC165" s="50">
        <x:f t="shared" si="143"/>
        <x:v>46223266353.909157</x:v>
      </x:c>
      <x:c r="AD165" s="62">
        <x:f t="shared" si="144"/>
        <x:v>180613426815.64587</x:v>
      </x:c>
      <x:c r="AF165" s="44">
        <x:v>20</x:v>
      </x:c>
      <x:c r="AG165" s="58">
        <x:f t="shared" si="158"/>
        <x:v>46630</x:v>
      </x:c>
      <x:c r="AH165" s="88">
        <x:f t="shared" si="145"/>
        <x:v>3.7263722621259904E-2</x:v>
      </x:c>
      <x:c r="AI165" s="60">
        <x:f t="shared" si="146"/>
        <x:v>0.96273627737874012</x:v>
      </x:c>
      <x:c r="AJ165" s="50">
        <x:f t="shared" si="147"/>
        <x:v>1334728575.4907496</x:v>
      </x:c>
      <x:c r="AK165" s="62">
        <x:f t="shared" si="148"/>
        <x:v>34483715788.123444</x:v>
      </x:c>
      <x:c r="AM165" s="44">
        <x:v>20</x:v>
      </x:c>
      <x:c r="AN165" s="58">
        <x:f t="shared" si="159"/>
        <x:v>46630</x:v>
      </x:c>
      <x:c r="AO165" s="88">
        <x:f t="shared" si="149"/>
        <x:v>0.75531093559973284</x:v>
      </x:c>
      <x:c r="AP165" s="60">
        <x:f t="shared" si="150"/>
        <x:v>0.24468906440026716</x:v>
      </x:c>
      <x:c r="AQ165" s="50">
        <x:f t="shared" si="151"/>
        <x:v>385109458594.24982</x:v>
      </x:c>
      <x:c r="AR165" s="62">
        <x:f t="shared" si="152"/>
        <x:v>124759312587.33618</x:v>
      </x:c>
    </x:row>
    <x:row r="166">
      <x:c r="B166" s="44">
        <x:v>21</x:v>
      </x:c>
      <x:c r="C166" s="58">
        <x:f t="shared" si="153"/>
        <x:v>46660</x:v>
      </x:c>
      <x:c r="D166" s="88">
        <x:f t="shared" si="129"/>
        <x:v>1.0377914832583159E-3</x:v>
      </x:c>
      <x:c r="E166" s="60">
        <x:f t="shared" si="130"/>
        <x:v>0.99896220851674167</x:v>
      </x:c>
      <x:c r="F166" s="50">
        <x:f t="shared" si="131"/>
        <x:v>423671415.54279882</x:v>
      </x:c>
      <x:c r="G166" s="62">
        <x:f t="shared" si="132"/>
        <x:v>407819624446.37085</x:v>
      </x:c>
      <x:c r="J166" s="44">
        <x:f t="shared" si="154"/>
        <x:v>21</x:v>
      </x:c>
      <x:c r="K166" s="58">
        <x:f t="shared" si="155"/>
        <x:v>46660</x:v>
      </x:c>
      <x:c r="L166" s="88">
        <x:f t="shared" si="133"/>
        <x:v>3.2477902467638873E-8</x:v>
      </x:c>
      <x:c r="M166" s="60">
        <x:f t="shared" si="134"/>
        <x:v>0.99999996752209752</x:v>
      </x:c>
      <x:c r="N166" s="50">
        <x:f t="shared" si="135"/>
        <x:v>34.928197375580545</x:v>
      </x:c>
      <x:c r="O166" s="62">
        <x:f t="shared" si="136"/>
        <x:v>1075444951.4093027</x:v>
      </x:c>
      <x:c r="R166" s="44">
        <x:v>21</x:v>
      </x:c>
      <x:c r="S166" s="58">
        <x:f t="shared" si="156"/>
        <x:v>46660</x:v>
      </x:c>
      <x:c r="T166" s="88">
        <x:f t="shared" si="137"/>
        <x:v>3.3810698926396172E-6</x:v>
      </x:c>
      <x:c r="U166" s="60">
        <x:f t="shared" si="138"/>
        <x:v>0.99999661893010738</x:v>
      </x:c>
      <x:c r="V166" s="50">
        <x:f t="shared" si="139"/>
        <x:v>487.84175801827485</x:v>
      </x:c>
      <x:c r="W166" s="62">
        <x:f t="shared" si="140"/>
        <x:v>144285721.40824199</x:v>
      </x:c>
      <x:c r="Y166" s="44">
        <x:v>21</x:v>
      </x:c>
      <x:c r="Z166" s="58">
        <x:f t="shared" si="157"/>
        <x:v>46660</x:v>
      </x:c>
      <x:c r="AA166" s="88">
        <x:f t="shared" si="141"/>
        <x:v>0.18819353073622058</x:v>
      </x:c>
      <x:c r="AB166" s="60">
        <x:f t="shared" si="142"/>
        <x:v>0.81180646926377942</x:v>
      </x:c>
      <x:c r="AC166" s="50">
        <x:f t="shared" si="143"/>
        <x:v>42689198188.107292</x:v>
      </x:c>
      <x:c r="AD166" s="62">
        <x:f t="shared" si="144"/>
        <x:v>184147494981.44772</x:v>
      </x:c>
      <x:c r="AF166" s="44">
        <x:v>21</x:v>
      </x:c>
      <x:c r="AG166" s="58">
        <x:f t="shared" si="158"/>
        <x:v>46660</x:v>
      </x:c>
      <x:c r="AH166" s="88">
        <x:f t="shared" si="145"/>
        <x:v>3.1611896429333139E-2</x:v>
      </x:c>
      <x:c r="AI166" s="60">
        <x:f t="shared" si="146"/>
        <x:v>0.96838810357066685</x:v>
      </x:c>
      <x:c r="AJ166" s="50">
        <x:f t="shared" si="147"/>
        <x:v>1132288953.4824033</x:v>
      </x:c>
      <x:c r="AK166" s="62">
        <x:f t="shared" si="148"/>
        <x:v>34686155410.13179</x:v>
      </x:c>
      <x:c r="AM166" s="44">
        <x:v>21</x:v>
      </x:c>
      <x:c r="AN166" s="58">
        <x:f t="shared" si="159"/>
        <x:v>46660</x:v>
      </x:c>
      <x:c r="AO166" s="88">
        <x:f t="shared" si="149"/>
        <x:v>0.74478695477289469</x:v>
      </x:c>
      <x:c r="AP166" s="60">
        <x:f t="shared" si="150"/>
        <x:v>0.25521304522710531</x:v>
      </x:c>
      <x:c r="AQ166" s="50">
        <x:f t="shared" si="151"/>
        <x:v>379743609422.13129</x:v>
      </x:c>
      <x:c r="AR166" s="62">
        <x:f t="shared" si="152"/>
        <x:v>130125161759.45471</x:v>
      </x:c>
    </x:row>
    <x:row r="167">
      <x:c r="B167" s="44">
        <x:v>22</x:v>
      </x:c>
      <x:c r="C167" s="58">
        <x:f t="shared" si="153"/>
        <x:v>46691</x:v>
      </x:c>
      <x:c r="D167" s="88">
        <x:f t="shared" si="129"/>
        <x:v>7.4820414040336616E-4</x:v>
      </x:c>
      <x:c r="E167" s="60">
        <x:f t="shared" si="130"/>
        <x:v>0.99925179585959667</x:v>
      </x:c>
      <x:c r="F167" s="50">
        <x:f t="shared" si="131"/>
        <x:v>305449324.25580019</x:v>
      </x:c>
      <x:c r="G167" s="62">
        <x:f t="shared" si="132"/>
        <x:v>407937846537.65784</x:v>
      </x:c>
      <x:c r="J167" s="44">
        <x:f t="shared" si="154"/>
        <x:v>22</x:v>
      </x:c>
      <x:c r="K167" s="58">
        <x:f t="shared" si="155"/>
        <x:v>46691</x:v>
      </x:c>
      <x:c r="L167" s="88">
        <x:f t="shared" si="133"/>
        <x:v>1.4288838393035971E-8</x:v>
      </x:c>
      <x:c r="M167" s="60">
        <x:f t="shared" si="134"/>
        <x:v>0.99999998571116155</x:v>
      </x:c>
      <x:c r="N167" s="50">
        <x:f t="shared" si="135"/>
        <x:v>15.366859610377317</x:v>
      </x:c>
      <x:c r="O167" s="62">
        <x:f t="shared" si="136"/>
        <x:v>1075444970.9706404</x:v>
      </x:c>
      <x:c r="R167" s="44">
        <x:v>22</x:v>
      </x:c>
      <x:c r="S167" s="58">
        <x:f t="shared" si="156"/>
        <x:v>46691</x:v>
      </x:c>
      <x:c r="T167" s="88">
        <x:f t="shared" si="137"/>
        <x:v>1.8558074655077708E-6</x:v>
      </x:c>
      <x:c r="U167" s="60">
        <x:f t="shared" si="138"/>
        <x:v>0.99999814419253452</x:v>
      </x:c>
      <x:c r="V167" s="50">
        <x:f t="shared" si="139"/>
        <x:v>267.76742429596635</x:v>
      </x:c>
      <x:c r="W167" s="62">
        <x:f t="shared" si="140"/>
        <x:v>144285941.48257571</x:v>
      </x:c>
      <x:c r="Y167" s="44">
        <x:v>22</x:v>
      </x:c>
      <x:c r="Z167" s="58">
        <x:f t="shared" si="157"/>
        <x:v>46691</x:v>
      </x:c>
      <x:c r="AA167" s="88">
        <x:f t="shared" si="141"/>
        <x:v>0.17380491611750304</x:v>
      </x:c>
      <x:c r="AB167" s="60">
        <x:f t="shared" si="142"/>
        <x:v>0.82619508388249696</x:v>
      </x:c>
      <x:c r="AC167" s="50">
        <x:f t="shared" si="143"/>
        <x:v>39425332428.706284</x:v>
      </x:c>
      <x:c r="AD167" s="62">
        <x:f t="shared" si="144"/>
        <x:v>187411360740.84875</x:v>
      </x:c>
      <x:c r="AF167" s="44">
        <x:v>22</x:v>
      </x:c>
      <x:c r="AG167" s="58">
        <x:f t="shared" si="158"/>
        <x:v>46691</x:v>
      </x:c>
      <x:c r="AH167" s="88">
        <x:f t="shared" si="145"/>
        <x:v>2.6817288385695325E-2</x:v>
      </x:c>
      <x:c r="AI167" s="60">
        <x:f t="shared" si="146"/>
        <x:v>0.9731827116143047</x:v>
      </x:c>
      <x:c r="AJ167" s="50">
        <x:f t="shared" si="147"/>
        <x:v>960553552.02602518</x:v>
      </x:c>
      <x:c r="AK167" s="62">
        <x:f t="shared" si="148"/>
        <x:v>34857890811.588173</x:v>
      </x:c>
      <x:c r="AM167" s="44">
        <x:v>22</x:v>
      </x:c>
      <x:c r="AN167" s="58">
        <x:f t="shared" si="159"/>
        <x:v>46691</x:v>
      </x:c>
      <x:c r="AO167" s="88">
        <x:f t="shared" si="149"/>
        <x:v>0.73440960782519626</x:v>
      </x:c>
      <x:c r="AP167" s="60">
        <x:f t="shared" si="150"/>
        <x:v>0.26559039217480374</x:v>
      </x:c>
      <x:c r="AQ167" s="50">
        <x:f t="shared" si="151"/>
        <x:v>374452524285.78333</x:v>
      </x:c>
      <x:c r="AR167" s="62">
        <x:f t="shared" si="152"/>
        <x:v>135416246895.80267</x:v>
      </x:c>
    </x:row>
    <x:row r="168">
      <x:c r="B168" s="44">
        <x:v>23</x:v>
      </x:c>
      <x:c r="C168" s="58">
        <x:f t="shared" si="153"/>
        <x:v>46721</x:v>
      </x:c>
      <x:c r="D168" s="88">
        <x:f t="shared" si="129"/>
        <x:v>5.3942380983810633E-4</x:v>
      </x:c>
      <x:c r="E168" s="60">
        <x:f t="shared" si="130"/>
        <x:v>0.99946057619016193</x:v>
      </x:c>
      <x:c r="F168" s="50">
        <x:f t="shared" si="131"/>
        <x:v>220216153.99469867</x:v>
      </x:c>
      <x:c r="G168" s="62">
        <x:f t="shared" si="132"/>
        <x:v>408023079707.91895</x:v>
      </x:c>
      <x:c r="J168" s="44">
        <x:f t="shared" si="154"/>
        <x:v>23</x:v>
      </x:c>
      <x:c r="K168" s="58">
        <x:f t="shared" si="155"/>
        <x:v>46721</x:v>
      </x:c>
      <x:c r="L168" s="88">
        <x:f t="shared" si="133"/>
        <x:v>6.2864559318674091E-9</x:v>
      </x:c>
      <x:c r="M168" s="60">
        <x:f t="shared" si="134"/>
        <x:v>0.99999999371354409</x:v>
      </x:c>
      <x:c r="N168" s="50">
        <x:f t="shared" si="135"/>
        <x:v>6.7607375137584427</x:v>
      </x:c>
      <x:c r="O168" s="62">
        <x:f t="shared" si="136"/>
        <x:v>1075444979.5767627</x:v>
      </x:c>
      <x:c r="R168" s="44">
        <x:v>23</x:v>
      </x:c>
      <x:c r="S168" s="58">
        <x:f t="shared" si="156"/>
        <x:v>46721</x:v>
      </x:c>
      <x:c r="T168" s="88">
        <x:f t="shared" si="137"/>
        <x:v>1.0186187977160128E-6</x:v>
      </x:c>
      <x:c r="U168" s="60">
        <x:f t="shared" si="138"/>
        <x:v>0.99999898138120225</x:v>
      </x:c>
      <x:c r="V168" s="50">
        <x:f t="shared" si="139"/>
        <x:v>146.97264499323606</x:v>
      </x:c>
      <x:c r="W168" s="62">
        <x:f t="shared" si="140"/>
        <x:v>144286062.27735502</x:v>
      </x:c>
      <x:c r="Y168" s="44">
        <x:v>23</x:v>
      </x:c>
      <x:c r="Z168" s="58">
        <x:f t="shared" si="157"/>
        <x:v>46721</x:v>
      </x:c>
      <x:c r="AA168" s="88">
        <x:f t="shared" si="141"/>
        <x:v>0.16051640430166111</x:v>
      </x:c>
      <x:c r="AB168" s="60">
        <x:f t="shared" si="142"/>
        <x:v>0.83948359569833886</x:v>
      </x:c>
      <x:c r="AC168" s="50">
        <x:f t="shared" si="143"/>
        <x:v>36411010351.256142</x:v>
      </x:c>
      <x:c r="AD168" s="62">
        <x:f t="shared" si="144"/>
        <x:v>190425682818.29889</x:v>
      </x:c>
      <x:c r="AF168" s="44">
        <x:v>23</x:v>
      </x:c>
      <x:c r="AG168" s="58">
        <x:f t="shared" si="158"/>
        <x:v>46721</x:v>
      </x:c>
      <x:c r="AH168" s="88">
        <x:f t="shared" si="145"/>
        <x:v>2.2749883353857372E-2</x:v>
      </x:c>
      <x:c r="AI168" s="60">
        <x:f t="shared" si="146"/>
        <x:v>0.97725011664614259</x:v>
      </x:c>
      <x:c r="AJ168" s="50">
        <x:f t="shared" si="147"/>
        <x:v>814865431.18885303</x:v>
      </x:c>
      <x:c r="AK168" s="62">
        <x:f t="shared" si="148"/>
        <x:v>35003578932.425346</x:v>
      </x:c>
      <x:c r="AM168" s="44">
        <x:v>23</x:v>
      </x:c>
      <x:c r="AN168" s="58">
        <x:f t="shared" si="159"/>
        <x:v>46721</x:v>
      </x:c>
      <x:c r="AO168" s="88">
        <x:f t="shared" si="149"/>
        <x:v>0.72417685166145662</x:v>
      </x:c>
      <x:c r="AP168" s="60">
        <x:f t="shared" si="150"/>
        <x:v>0.27582314833854338</x:v>
      </x:c>
      <x:c r="AQ168" s="50">
        <x:f t="shared" si="151"/>
        <x:v>369235161474.77655</x:v>
      </x:c>
      <x:c r="AR168" s="62">
        <x:f t="shared" si="152"/>
        <x:v>140633609706.80945</x:v>
      </x:c>
    </x:row>
    <x:row r="169">
      <x:c r="B169" s="44">
        <x:v>24</x:v>
      </x:c>
      <x:c r="C169" s="58">
        <x:f t="shared" si="153"/>
        <x:v>46752</x:v>
      </x:c>
      <x:c r="D169" s="88">
        <x:f t="shared" si="129"/>
        <x:v>3.8890194655082718E-4</x:v>
      </x:c>
      <x:c r="E169" s="60">
        <x:f t="shared" si="130"/>
        <x:v>0.99961109805344917</x:v>
      </x:c>
      <x:c r="F169" s="50">
        <x:f t="shared" si="131"/>
        <x:v>158766612.42702347</x:v>
      </x:c>
      <x:c r="G169" s="62">
        <x:f t="shared" si="132"/>
        <x:v>408084529249.48663</x:v>
      </x:c>
      <x:c r="J169" s="44">
        <x:f t="shared" si="154"/>
        <x:v>24</x:v>
      </x:c>
      <x:c r="K169" s="58">
        <x:f t="shared" si="155"/>
        <x:v>46752</x:v>
      </x:c>
      <x:c r="L169" s="88">
        <x:f t="shared" si="133"/>
        <x:v>2.7657621351902038E-9</x:v>
      </x:c>
      <x:c r="M169" s="60">
        <x:f t="shared" si="134"/>
        <x:v>0.99999999723423783</x:v>
      </x:c>
      <x:c r="N169" s="50">
        <x:f t="shared" si="135"/>
        <x:v>2.974425021692404</x:v>
      </x:c>
      <x:c r="O169" s="62">
        <x:f t="shared" si="136"/>
        <x:v>1075444983.363075</x:v>
      </x:c>
      <x:c r="R169" s="44">
        <x:v>24</x:v>
      </x:c>
      <x:c r="S169" s="58">
        <x:f t="shared" si="156"/>
        <x:v>46752</x:v>
      </x:c>
      <x:c r="T169" s="88">
        <x:f t="shared" si="137"/>
        <x:v>5.5910123994275372E-7</x:v>
      </x:c>
      <x:c r="U169" s="60">
        <x:f t="shared" si="138"/>
        <x:v>0.99999944089876003</x:v>
      </x:c>
      <x:c r="V169" s="50">
        <x:f t="shared" si="139"/>
        <x:v>80.670598498314618</x:v>
      </x:c>
      <x:c r="W169" s="62">
        <x:f t="shared" si="140"/>
        <x:v>144286128.57940149</x:v>
      </x:c>
      <x:c r="Y169" s="44">
        <x:v>24</x:v>
      </x:c>
      <x:c r="Z169" s="58">
        <x:f t="shared" si="157"/>
        <x:v>46752</x:v>
      </x:c>
      <x:c r="AA169" s="88">
        <x:f t="shared" si="141"/>
        <x:v>0.14824388530250329</x:v>
      </x:c>
      <x:c r="AB169" s="60">
        <x:f t="shared" si="142"/>
        <x:v>0.85175611469749668</x:v>
      </x:c>
      <x:c r="AC169" s="50">
        <x:f t="shared" si="143"/>
        <x:v>33627152724.626648</x:v>
      </x:c>
      <x:c r="AD169" s="62">
        <x:f t="shared" si="144"/>
        <x:v>193209540444.92838</x:v>
      </x:c>
      <x:c r="AF169" s="44">
        <x:v>24</x:v>
      </x:c>
      <x:c r="AG169" s="58">
        <x:f t="shared" si="158"/>
        <x:v>46752</x:v>
      </x:c>
      <x:c r="AH169" s="88">
        <x:f t="shared" si="145"/>
        <x:v>1.9299385723509168E-2</x:v>
      </x:c>
      <x:c r="AI169" s="60">
        <x:f t="shared" si="146"/>
        <x:v>0.9807006142764908</x:v>
      </x:c>
      <x:c r="AJ169" s="50">
        <x:f t="shared" si="147"/>
        <x:v>691273973.78944325</x:v>
      </x:c>
      <x:c r="AK169" s="62">
        <x:f t="shared" si="148"/>
        <x:v>35127170389.824753</x:v>
      </x:c>
      <x:c r="AM169" s="44">
        <x:v>24</x:v>
      </x:c>
      <x:c r="AN169" s="58">
        <x:f t="shared" si="159"/>
        <x:v>46752</x:v>
      </x:c>
      <x:c r="AO169" s="88">
        <x:f t="shared" si="149"/>
        <x:v>0.71408667165357176</x:v>
      </x:c>
      <x:c r="AP169" s="60">
        <x:f t="shared" si="150"/>
        <x:v>0.28591332834642824</x:v>
      </x:c>
      <x:c r="AQ169" s="50">
        <x:f t="shared" si="151"/>
        <x:v>364090493793.15533</x:v>
      </x:c>
      <x:c r="AR169" s="62">
        <x:f t="shared" si="152"/>
        <x:v>145778277388.43066</x:v>
      </x:c>
    </x:row>
    <x:row r="170">
      <x:c r="B170" s="44">
        <x:v>25</x:v>
      </x:c>
      <x:c r="C170" s="58">
        <x:f t="shared" si="153"/>
        <x:v>46783</x:v>
      </x:c>
      <x:c r="D170" s="88">
        <x:f t="shared" si="129"/>
        <x:v>2.8038199514480923E-4</x:v>
      </x:c>
      <x:c r="E170" s="60">
        <x:f t="shared" si="130"/>
        <x:v>0.9997196180048552</x:v>
      </x:c>
      <x:c r="F170" s="50">
        <x:f t="shared" si="131"/>
        <x:v>114464069.79825599</x:v>
      </x:c>
      <x:c r="G170" s="62">
        <x:f t="shared" si="132"/>
        <x:v>408128831792.11536</x:v>
      </x:c>
      <x:c r="J170" s="44">
        <x:f t="shared" si="154"/>
        <x:v>25</x:v>
      </x:c>
      <x:c r="K170" s="58">
        <x:f t="shared" si="155"/>
        <x:v>46783</x:v>
      </x:c>
      <x:c r="L170" s="88">
        <x:f t="shared" si="133"/>
        <x:v>1.2168128228936122E-9</x:v>
      </x:c>
      <x:c r="M170" s="60">
        <x:f t="shared" si="134"/>
        <x:v>0.99999999878318713</x:v>
      </x:c>
      <x:c r="N170" s="50">
        <x:f t="shared" si="135"/>
        <x:v>1.3086152496921157</x:v>
      </x:c>
      <x:c r="O170" s="62">
        <x:f t="shared" si="136"/>
        <x:v>1075444985.0288849</x:v>
      </x:c>
      <x:c r="R170" s="44">
        <x:v>25</x:v>
      </x:c>
      <x:c r="S170" s="58">
        <x:f t="shared" si="156"/>
        <x:v>46783</x:v>
      </x:c>
      <x:c r="T170" s="88">
        <x:f t="shared" si="137"/>
        <x:v>3.068804514568514E-7</x:v>
      </x:c>
      <x:c r="U170" s="60">
        <x:f t="shared" si="138"/>
        <x:v>0.99999969311954851</x:v>
      </x:c>
      <x:c r="V170" s="50">
        <x:f t="shared" si="139"/>
        <x:v>44.27861703363773</x:v>
      </x:c>
      <x:c r="W170" s="62">
        <x:f t="shared" si="140"/>
        <x:v>144286164.97138298</x:v>
      </x:c>
      <x:c r="Y170" s="44">
        <x:v>25</x:v>
      </x:c>
      <x:c r="Z170" s="58">
        <x:f t="shared" si="157"/>
        <x:v>46783</x:v>
      </x:c>
      <x:c r="AA170" s="88">
        <x:f t="shared" si="141"/>
        <x:v>0.13690967988718103</x:v>
      </x:c>
      <x:c r="AB170" s="60">
        <x:f t="shared" si="142"/>
        <x:v>0.86309032011281894</x:v>
      </x:c>
      <x:c r="AC170" s="50">
        <x:f t="shared" si="143"/>
        <x:v>31056139048.510483</x:v>
      </x:c>
      <x:c r="AD170" s="62">
        <x:f t="shared" si="144"/>
        <x:v>195780554121.04456</x:v>
      </x:c>
      <x:c r="AF170" s="44">
        <x:v>25</x:v>
      </x:c>
      <x:c r="AG170" s="58">
        <x:f t="shared" si="158"/>
        <x:v>46783</x:v>
      </x:c>
      <x:c r="AH170" s="88">
        <x:f t="shared" si="145"/>
        <x:v>1.6372228530201934E-2</x:v>
      </x:c>
      <x:c r="AI170" s="60">
        <x:f t="shared" si="146"/>
        <x:v>0.98362777146979807</x:v>
      </x:c>
      <x:c r="AJ170" s="50">
        <x:f t="shared" si="147"/>
        <x:v>586427756.71741498</x:v>
      </x:c>
      <x:c r="AK170" s="62">
        <x:f t="shared" si="148"/>
        <x:v>35232016606.896782</x:v>
      </x:c>
      <x:c r="AM170" s="44">
        <x:v>25</x:v>
      </x:c>
      <x:c r="AN170" s="58">
        <x:f t="shared" si="159"/>
        <x:v>46783</x:v>
      </x:c>
      <x:c r="AO170" s="88">
        <x:f t="shared" si="149"/>
        <x:v>0.70413708124387409</x:v>
      </x:c>
      <x:c r="AP170" s="60">
        <x:f t="shared" si="150"/>
        <x:v>0.29586291875612591</x:v>
      </x:c>
      <x:c r="AQ170" s="50">
        <x:f t="shared" si="151"/>
        <x:v>359017508357.20264</x:v>
      </x:c>
      <x:c r="AR170" s="62">
        <x:f t="shared" si="152"/>
        <x:v>150851262824.38336</x:v>
      </x:c>
    </x:row>
    <x:row r="171">
      <x:c r="B171" s="44">
        <x:v>26</x:v>
      </x:c>
      <x:c r="C171" s="58">
        <x:f t="shared" si="153"/>
        <x:v>46812</x:v>
      </x:c>
      <x:c r="D171" s="88">
        <x:f t="shared" si="129"/>
        <x:v>2.0214366088576379E-4</x:v>
      </x:c>
      <x:c r="E171" s="60">
        <x:f t="shared" si="130"/>
        <x:v>0.99979785633911422</x:v>
      </x:c>
      <x:c r="F171" s="50">
        <x:f t="shared" si="131"/>
        <x:v>82523794.357597202</x:v>
      </x:c>
      <x:c r="G171" s="62">
        <x:f t="shared" si="132"/>
        <x:v>408160772067.55603</x:v>
      </x:c>
      <x:c r="J171" s="44">
        <x:f t="shared" si="154"/>
        <x:v>26</x:v>
      </x:c>
      <x:c r="K171" s="58">
        <x:f t="shared" si="155"/>
        <x:v>46812</x:v>
      </x:c>
      <x:c r="L171" s="88">
        <x:f t="shared" si="133"/>
        <x:v>5.3534374020074469E-10</x:v>
      </x:c>
      <x:c r="M171" s="60">
        <x:f t="shared" si="134"/>
        <x:v>0.99999999946465623</x:v>
      </x:c>
      <x:c r="N171" s="50">
        <x:f t="shared" si="135"/>
        <x:v>0.57573274136605612</x:v>
      </x:c>
      <x:c r="O171" s="62">
        <x:f t="shared" si="136"/>
        <x:v>1075444985.7617674</x:v>
      </x:c>
      <x:c r="R171" s="44">
        <x:v>26</x:v>
      </x:c>
      <x:c r="S171" s="58">
        <x:f t="shared" si="156"/>
        <x:v>46812</x:v>
      </x:c>
      <x:c r="T171" s="88">
        <x:f t="shared" si="137"/>
        <x:v>1.684410707012625E-7</x:v>
      </x:c>
      <x:c r="U171" s="60">
        <x:f t="shared" si="138"/>
        <x:v>0.99999983155892935</x:v>
      </x:c>
      <x:c r="V171" s="50">
        <x:f t="shared" si="139"/>
        <x:v>24.303723573496406</x:v>
      </x:c>
      <x:c r="W171" s="62">
        <x:f t="shared" si="140"/>
        <x:v>144286184.94627643</x:v>
      </x:c>
      <x:c r="Y171" s="44">
        <x:v>26</x:v>
      </x:c>
      <x:c r="Z171" s="58">
        <x:f t="shared" si="157"/>
        <x:v>46812</x:v>
      </x:c>
      <x:c r="AA171" s="88">
        <x:f t="shared" si="141"/>
        <x:v>0.12644204790343461</x:v>
      </x:c>
      <x:c r="AB171" s="60">
        <x:f t="shared" si="142"/>
        <x:v>0.87355795209656539</x:v>
      </x:c>
      <x:c r="AC171" s="50">
        <x:f t="shared" si="143"/>
        <x:v>28681696024.001575</x:v>
      </x:c>
      <x:c r="AD171" s="62">
        <x:f t="shared" si="144"/>
        <x:v>198154997145.55344</x:v>
      </x:c>
      <x:c r="AF171" s="44">
        <x:v>26</x:v>
      </x:c>
      <x:c r="AG171" s="58">
        <x:f t="shared" si="158"/>
        <x:v>46812</x:v>
      </x:c>
      <x:c r="AH171" s="88">
        <x:f t="shared" si="145"/>
        <x:v>1.3889036204848656E-2</x:v>
      </x:c>
      <x:c r="AI171" s="60">
        <x:f t="shared" si="146"/>
        <x:v>0.9861109637951514</x:v>
      </x:c>
      <x:c r="AJ171" s="50">
        <x:f t="shared" si="147"/>
        <x:v>497483670.56759483</x:v>
      </x:c>
      <x:c r="AK171" s="62">
        <x:f t="shared" si="148"/>
        <x:v>35320960693.0466</x:v>
      </x:c>
      <x:c r="AM171" s="44">
        <x:v>26</x:v>
      </x:c>
      <x:c r="AN171" s="58">
        <x:f t="shared" si="159"/>
        <x:v>46812</x:v>
      </x:c>
      <x:c r="AO171" s="88">
        <x:f t="shared" si="149"/>
        <x:v>0.69432612155401818</x:v>
      </x:c>
      <x:c r="AP171" s="60">
        <x:f t="shared" si="150"/>
        <x:v>0.30567387844598182</x:v>
      </x:c>
      <x:c r="AQ171" s="50">
        <x:f t="shared" si="151"/>
        <x:v>354015206396.02374</x:v>
      </x:c>
      <x:c r="AR171" s="62">
        <x:f t="shared" si="152"/>
        <x:v>155853564785.56226</x:v>
      </x:c>
    </x:row>
    <x:row r="172">
      <x:c r="B172" s="44">
        <x:v>27</x:v>
      </x:c>
      <x:c r="C172" s="58">
        <x:f t="shared" si="153"/>
        <x:v>46843</x:v>
      </x:c>
      <x:c r="D172" s="88">
        <x:f t="shared" si="129"/>
        <x:v>1.4573710275224549E-4</x:v>
      </x:c>
      <x:c r="E172" s="60">
        <x:f t="shared" si="130"/>
        <x:v>0.99985426289724777</x:v>
      </x:c>
      <x:c r="F172" s="50">
        <x:f t="shared" si="131"/>
        <x:v>59496195.15694306</x:v>
      </x:c>
      <x:c r="G172" s="62">
        <x:f t="shared" si="132"/>
        <x:v>408183799666.75671</x:v>
      </x:c>
      <x:c r="J172" s="44">
        <x:f t="shared" si="154"/>
        <x:v>27</x:v>
      </x:c>
      <x:c r="K172" s="58">
        <x:f t="shared" si="155"/>
        <x:v>46843</x:v>
      </x:c>
      <x:c r="L172" s="88">
        <x:f t="shared" si="133"/>
        <x:v>2.3552753125217409E-10</x:v>
      </x:c>
      <x:c r="M172" s="60">
        <x:f t="shared" si="134"/>
        <x:v>0.99999999976447251</x:v>
      </x:c>
      <x:c r="N172" s="50">
        <x:f t="shared" si="135"/>
        <x:v>0.25329690262959947</x:v>
      </x:c>
      <x:c r="O172" s="62">
        <x:f t="shared" si="136"/>
        <x:v>1075444986.0842032</x:v>
      </x:c>
      <x:c r="R172" s="44">
        <x:v>27</x:v>
      </x:c>
      <x:c r="S172" s="58">
        <x:f t="shared" si="156"/>
        <x:v>46843</x:v>
      </x:c>
      <x:c r="T172" s="88">
        <x:f t="shared" si="137"/>
        <x:v>9.2454224973587115E-8</x:v>
      </x:c>
      <x:c r="U172" s="60">
        <x:f t="shared" si="138"/>
        <x:v>0.99999990754577506</x:v>
      </x:c>
      <x:c r="V172" s="50">
        <x:f t="shared" si="139"/>
        <x:v>13.339869650585566</x:v>
      </x:c>
      <x:c r="W172" s="62">
        <x:f t="shared" si="140"/>
        <x:v>144286195.91013035</x:v>
      </x:c>
      <x:c r="Y172" s="44">
        <x:v>27</x:v>
      </x:c>
      <x:c r="Z172" s="58">
        <x:f t="shared" si="157"/>
        <x:v>46843</x:v>
      </x:c>
      <x:c r="AA172" s="88">
        <x:f t="shared" si="141"/>
        <x:v>0.11677473419840623</x:v>
      </x:c>
      <x:c r="AB172" s="60">
        <x:f t="shared" si="142"/>
        <x:v>0.88322526580159377</x:v>
      </x:c>
      <x:c r="AC172" s="50">
        <x:f t="shared" si="143"/>
        <x:v>26488794551.320217</x:v>
      </x:c>
      <x:c r="AD172" s="62">
        <x:f t="shared" si="144"/>
        <x:v>200347898618.2348</x:v>
      </x:c>
      <x:c r="AF172" s="44">
        <x:v>27</x:v>
      </x:c>
      <x:c r="AG172" s="58">
        <x:f t="shared" si="158"/>
        <x:v>46843</x:v>
      </x:c>
      <x:c r="AH172" s="88">
        <x:f t="shared" si="145"/>
        <x:v>1.1782472150553195E-2</x:v>
      </x:c>
      <x:c r="AI172" s="60">
        <x:f t="shared" si="146"/>
        <x:v>0.98821752784944683</x:v>
      </x:c>
      <x:c r="AJ172" s="50">
        <x:f t="shared" si="147"/>
        <x:v>422029823.19042337</x:v>
      </x:c>
      <x:c r="AK172" s="62">
        <x:f t="shared" si="148"/>
        <x:v>35396414540.423775</x:v>
      </x:c>
      <x:c r="AM172" s="44">
        <x:v>27</x:v>
      </x:c>
      <x:c r="AN172" s="58">
        <x:f t="shared" si="159"/>
        <x:v>46843</x:v>
      </x:c>
      <x:c r="AO172" s="88">
        <x:f t="shared" si="149"/>
        <x:v>0.6846518609993163</x:v>
      </x:c>
      <x:c r="AP172" s="60">
        <x:f t="shared" si="150"/>
        <x:v>0.3153481390006837</x:v>
      </x:c>
      <x:c r="AQ172" s="50">
        <x:f t="shared" si="151"/>
        <x:v>349082603054.90741</x:v>
      </x:c>
      <x:c r="AR172" s="62">
        <x:f t="shared" si="152"/>
        <x:v>160786168126.67859</x:v>
      </x:c>
    </x:row>
    <x:row r="173">
      <x:c r="B173" s="44">
        <x:v>28</x:v>
      </x:c>
      <x:c r="C173" s="58">
        <x:f t="shared" si="153"/>
        <x:v>46873</x:v>
      </x:c>
      <x:c r="D173" s="88">
        <x:f t="shared" si="129"/>
        <x:v>1.0507033970568784E-4</x:v>
      </x:c>
      <x:c r="E173" s="60">
        <x:f t="shared" si="130"/>
        <x:v>0.99989492966029436</x:v>
      </x:c>
      <x:c r="F173" s="50">
        <x:f t="shared" si="131"/>
        <x:v>42894261.778780892</x:v>
      </x:c>
      <x:c r="G173" s="62">
        <x:f t="shared" si="132"/>
        <x:v>408200401600.13483</x:v>
      </x:c>
      <x:c r="J173" s="44">
        <x:f t="shared" si="154"/>
        <x:v>28</x:v>
      </x:c>
      <x:c r="K173" s="58">
        <x:f t="shared" si="155"/>
        <x:v>46873</x:v>
      </x:c>
      <x:c r="L173" s="88">
        <x:f t="shared" si="133"/>
        <x:v>1.0362168044954168E-10</x:v>
      </x:c>
      <x:c r="M173" s="60">
        <x:f t="shared" si="134"/>
        <x:v>0.99999999989637833</x:v>
      </x:c>
      <x:c r="N173" s="50">
        <x:f t="shared" si="135"/>
        <x:v>0.11143941671532616</x:v>
      </x:c>
      <x:c r="O173" s="62">
        <x:f t="shared" si="136"/>
        <x:v>1075444986.2260606</x:v>
      </x:c>
      <x:c r="R173" s="44">
        <x:v>28</x:v>
      </x:c>
      <x:c r="S173" s="58">
        <x:f t="shared" si="156"/>
        <x:v>46873</x:v>
      </x:c>
      <x:c r="T173" s="88">
        <x:f t="shared" si="137"/>
        <x:v>5.0746434226997533E-8</x:v>
      </x:c>
      <x:c r="U173" s="60">
        <x:f t="shared" si="138"/>
        <x:v>0.99999994925356572</x:v>
      </x:c>
      <x:c r="V173" s="50">
        <x:f t="shared" si="139"/>
        <x:v>7.322010627567928</x:v>
      </x:c>
      <x:c r="W173" s="62">
        <x:f t="shared" si="140"/>
        <x:v>144286201.92798936</x:v>
      </x:c>
      <x:c r="Y173" s="44">
        <x:v>28</x:v>
      </x:c>
      <x:c r="Z173" s="58">
        <x:f t="shared" si="157"/>
        <x:v>46873</x:v>
      </x:c>
      <x:c r="AA173" s="88">
        <x:f t="shared" si="141"/>
        <x:v>0.10784654925490189</x:v>
      </x:c>
      <x:c r="AB173" s="60">
        <x:f t="shared" si="142"/>
        <x:v>0.89215345074509811</x:v>
      </x:c>
      <x:c r="AC173" s="50">
        <x:f t="shared" si="143"/>
        <x:v>24463554602.729485</x:v>
      </x:c>
      <x:c r="AD173" s="62">
        <x:f t="shared" si="144"/>
        <x:v>202373138566.82553</x:v>
      </x:c>
      <x:c r="AF173" s="44">
        <x:v>28</x:v>
      </x:c>
      <x:c r="AG173" s="58">
        <x:f t="shared" si="158"/>
        <x:v>46873</x:v>
      </x:c>
      <x:c r="AH173" s="88">
        <x:f t="shared" si="145"/>
        <x:v>9.9954127796209012E-3</x:v>
      </x:c>
      <x:c r="AI173" s="60">
        <x:f t="shared" si="146"/>
        <x:v>0.9900045872203791</x:v>
      </x:c>
      <x:c r="AJ173" s="50">
        <x:f t="shared" si="147"/>
        <x:v>358020136.53820956</x:v>
      </x:c>
      <x:c r="AK173" s="62">
        <x:f t="shared" si="148"/>
        <x:v>35460424227.075989</x:v>
      </x:c>
      <x:c r="AM173" s="44">
        <x:v>28</x:v>
      </x:c>
      <x:c r="AN173" s="58">
        <x:f t="shared" si="159"/>
        <x:v>46873</x:v>
      </x:c>
      <x:c r="AO173" s="88">
        <x:f t="shared" si="149"/>
        <x:v>0.67511239490844777</x:v>
      </x:c>
      <x:c r="AP173" s="60">
        <x:f t="shared" si="150"/>
        <x:v>0.32488760509155223</x:v>
      </x:c>
      <x:c r="AQ173" s="50">
        <x:f t="shared" si="151"/>
        <x:v>344218727201.42786</x:v>
      </x:c>
      <x:c r="AR173" s="62">
        <x:f t="shared" si="152"/>
        <x:v>165650043980.15814</x:v>
      </x:c>
    </x:row>
    <x:row r="174">
      <x:c r="B174" s="44">
        <x:v>29</x:v>
      </x:c>
      <x:c r="C174" s="58">
        <x:f t="shared" si="153"/>
        <x:v>46904</x:v>
      </x:c>
      <x:c r="D174" s="88">
        <x:f t="shared" si="129"/>
        <x:v>7.575130888004799E-5</x:v>
      </x:c>
      <x:c r="E174" s="60">
        <x:f t="shared" si="130"/>
        <x:v>0.99992424869111995</x:v>
      </x:c>
      <x:c r="F174" s="50">
        <x:f t="shared" si="131"/>
        <x:v>30924964.003044639</x:v>
      </x:c>
      <x:c r="G174" s="62">
        <x:f t="shared" si="132"/>
        <x:v>408212370897.91058</x:v>
      </x:c>
      <x:c r="J174" s="44">
        <x:f t="shared" si="154"/>
        <x:v>29</x:v>
      </x:c>
      <x:c r="K174" s="58">
        <x:f t="shared" si="155"/>
        <x:v>46904</x:v>
      </x:c>
      <x:c r="L174" s="88">
        <x:f t="shared" si="133"/>
        <x:v>4.558894920734587E-11</x:v>
      </x:c>
      <x:c r="M174" s="60">
        <x:f t="shared" si="134"/>
        <x:v>0.99999999995441102</x:v>
      </x:c>
      <x:c r="N174" s="50">
        <x:f t="shared" si="135"/>
        <x:v>4.9028406857435064E-2</x:v>
      </x:c>
      <x:c r="O174" s="62">
        <x:f t="shared" si="136"/>
        <x:v>1075444986.2884717</x:v>
      </x:c>
      <x:c r="R174" s="44">
        <x:v>29</x:v>
      </x:c>
      <x:c r="S174" s="58">
        <x:f t="shared" si="156"/>
        <x:v>46904</x:v>
      </x:c>
      <x:c r="T174" s="88">
        <x:f t="shared" si="137"/>
        <x:v>2.7853790213380475E-8</x:v>
      </x:c>
      <x:c r="U174" s="60">
        <x:f t="shared" si="138"/>
        <x:v>0.99999997214620984</x:v>
      </x:c>
      <x:c r="V174" s="50">
        <x:f t="shared" si="139"/>
        <x:v>4.0189178031334176</x:v>
      </x:c>
      <x:c r="W174" s="62">
        <x:f t="shared" si="140"/>
        <x:v>144286205.2310822</x:v>
      </x:c>
      <x:c r="Y174" s="44">
        <x:v>29</x:v>
      </x:c>
      <x:c r="Z174" s="58">
        <x:f t="shared" si="157"/>
        <x:v>46904</x:v>
      </x:c>
      <x:c r="AA174" s="88">
        <x:f t="shared" si="141"/>
        <x:v>9.9600981890727538E-2</x:v>
      </x:c>
      <x:c r="AB174" s="60">
        <x:f t="shared" si="142"/>
        <x:v>0.90039901810927248</x:v>
      </x:c>
      <x:c r="AC174" s="50">
        <x:f t="shared" si="143"/>
        <x:v>22593157368.533367</x:v>
      </x:c>
      <x:c r="AD174" s="62">
        <x:f t="shared" si="144"/>
        <x:v>204243535801.02167</x:v>
      </x:c>
      <x:c r="AF174" s="44">
        <x:v>29</x:v>
      </x:c>
      <x:c r="AG174" s="58">
        <x:f t="shared" si="158"/>
        <x:v>46904</x:v>
      </x:c>
      <x:c r="AH174" s="88">
        <x:f t="shared" si="145"/>
        <x:v>8.4793984962076123E-3</x:v>
      </x:c>
      <x:c r="AI174" s="60">
        <x:f t="shared" si="146"/>
        <x:v>0.9915206015037924</x:v>
      </x:c>
      <x:c r="AJ174" s="50">
        <x:f t="shared" si="147"/>
        <x:v>303718863.27332622</x:v>
      </x:c>
      <x:c r="AK174" s="62">
        <x:f t="shared" si="148"/>
        <x:v>35514725500.340874</x:v>
      </x:c>
      <x:c r="AM174" s="44">
        <x:v>29</x:v>
      </x:c>
      <x:c r="AN174" s="58">
        <x:f t="shared" si="159"/>
        <x:v>46904</x:v>
      </x:c>
      <x:c r="AO174" s="88">
        <x:f t="shared" si="149"/>
        <x:v>0.66570584514846587</x:v>
      </x:c>
      <x:c r="AP174" s="60">
        <x:f t="shared" si="150"/>
        <x:v>0.33429415485153413</x:v>
      </x:c>
      <x:c r="AQ174" s="50">
        <x:f t="shared" si="151"/>
        <x:v>339422621234.24744</x:v>
      </x:c>
      <x:c r="AR174" s="62">
        <x:f t="shared" si="152"/>
        <x:v>170446149947.33856</x:v>
      </x:c>
    </x:row>
    <x:row r="175">
      <x:c r="B175" s="44">
        <x:v>30</x:v>
      </x:c>
      <x:c r="C175" s="58">
        <x:f t="shared" si="153"/>
        <x:v>46934</x:v>
      </x:c>
      <x:c r="D175" s="88">
        <x:f t="shared" si="129"/>
        <x:v>5.4613517126849128E-5</x:v>
      </x:c>
      <x:c r="E175" s="60">
        <x:f t="shared" si="130"/>
        <x:v>0.99994538648287312</x:v>
      </x:c>
      <x:c r="F175" s="50">
        <x:f t="shared" si="131"/>
        <x:v>22295602.230475955</x:v>
      </x:c>
      <x:c r="G175" s="62">
        <x:f t="shared" si="132"/>
        <x:v>408221000259.68317</x:v>
      </x:c>
      <x:c r="J175" s="44">
        <x:f t="shared" si="154"/>
        <x:v>30</x:v>
      </x:c>
      <x:c r="K175" s="58">
        <x:f t="shared" si="155"/>
        <x:v>46934</x:v>
      </x:c>
      <x:c r="L175" s="88">
        <x:f t="shared" si="133"/>
        <x:v>2.0057118170767382E-11</x:v>
      </x:c>
      <x:c r="M175" s="60">
        <x:f t="shared" si="134"/>
        <x:v>0.99999999997994293</x:v>
      </x:c>
      <x:c r="N175" s="50">
        <x:f t="shared" si="135"/>
        <x:v>2.1570327177130554E-2</x:v>
      </x:c>
      <x:c r="O175" s="62">
        <x:f t="shared" si="136"/>
        <x:v>1075444986.3159297</x:v>
      </x:c>
      <x:c r="R175" s="44">
        <x:v>30</x:v>
      </x:c>
      <x:c r="S175" s="58">
        <x:f t="shared" si="156"/>
        <x:v>46934</x:v>
      </x:c>
      <x:c r="T175" s="88">
        <x:f t="shared" si="137"/>
        <x:v>1.5288436341764928E-8</x:v>
      </x:c>
      <x:c r="U175" s="60">
        <x:f t="shared" si="138"/>
        <x:v>0.99999998471156371</x:v>
      </x:c>
      <x:c r="V175" s="50">
        <x:f t="shared" si="139"/>
        <x:v>2.205910525113199</x:v>
      </x:c>
      <x:c r="W175" s="62">
        <x:f t="shared" si="140"/>
        <x:v>144286207.04408947</x:v>
      </x:c>
      <x:c r="Y175" s="44">
        <x:v>30</x:v>
      </x:c>
      <x:c r="Z175" s="58">
        <x:f t="shared" si="157"/>
        <x:v>46934</x:v>
      </x:c>
      <x:c r="AA175" s="88">
        <x:f t="shared" si="141"/>
        <x:v>9.1985841569670171E-2</x:v>
      </x:c>
      <x:c r="AB175" s="60">
        <x:f t="shared" si="142"/>
        <x:v>0.90801415843032984</x:v>
      </x:c>
      <x:c r="AC175" s="50">
        <x:f t="shared" si="143"/>
        <x:v>20865764120.082573</x:v>
      </x:c>
      <x:c r="AD175" s="62">
        <x:f t="shared" si="144"/>
        <x:v>205970929049.47244</x:v>
      </x:c>
      <x:c r="AF175" s="44">
        <x:v>30</x:v>
      </x:c>
      <x:c r="AG175" s="58">
        <x:f t="shared" si="158"/>
        <x:v>46934</x:v>
      </x:c>
      <x:c r="AH175" s="88">
        <x:f t="shared" si="145"/>
        <x:v>7.193319619984209E-3</x:v>
      </x:c>
      <x:c r="AI175" s="60">
        <x:f t="shared" si="146"/>
        <x:v>0.99280668038001574</x:v>
      </x:c>
      <x:c r="AJ175" s="50">
        <x:f t="shared" si="147"/>
        <x:v>257653518.59809881</x:v>
      </x:c>
      <x:c r="AK175" s="62">
        <x:f t="shared" si="148"/>
        <x:v>35560790845.016098</x:v>
      </x:c>
      <x:c r="AM175" s="44">
        <x:v>30</x:v>
      </x:c>
      <x:c r="AN175" s="58">
        <x:f t="shared" si="159"/>
        <x:v>46934</x:v>
      </x:c>
      <x:c r="AO175" s="88">
        <x:f t="shared" si="149"/>
        <x:v>0.6564303597550315</x:v>
      </x:c>
      <x:c r="AP175" s="60">
        <x:f t="shared" si="150"/>
        <x:v>0.3435696402449685</x:v>
      </x:c>
      <x:c r="AQ175" s="50">
        <x:f t="shared" si="151"/>
        <x:v>334693340894.58435</x:v>
      </x:c>
      <x:c r="AR175" s="62">
        <x:f t="shared" si="152"/>
        <x:v>175175430287.00165</x:v>
      </x:c>
    </x:row>
    <x:row r="176">
      <x:c r="B176" s="44">
        <x:v>31</x:v>
      </x:c>
      <x:c r="C176" s="58">
        <x:f t="shared" si="153"/>
        <x:v>46965</x:v>
      </x:c>
      <x:c r="D176" s="88">
        <x:f t="shared" si="129"/>
        <x:v>3.9374055670610787E-5</x:v>
      </x:c>
      <x:c r="E176" s="60">
        <x:f t="shared" si="130"/>
        <x:v>0.99996062594432944</x:v>
      </x:c>
      <x:c r="F176" s="50">
        <x:f t="shared" si="131"/>
        <x:v>16074194.258420618</x:v>
      </x:c>
      <x:c r="G176" s="62">
        <x:f t="shared" si="132"/>
        <x:v>408227221667.65521</x:v>
      </x:c>
      <x:c r="J176" s="44">
        <x:f t="shared" si="154"/>
        <x:v>31</x:v>
      </x:c>
      <x:c r="K176" s="58">
        <x:f t="shared" si="155"/>
        <x:v>46965</x:v>
      </x:c>
      <x:c r="L176" s="88">
        <x:f t="shared" si="133"/>
        <x:v>8.8242435131912822E-12</x:v>
      </x:c>
      <x:c r="M176" s="60">
        <x:f t="shared" si="134"/>
        <x:v>0.99999999999117573</x:v>
      </x:c>
      <x:c r="N176" s="50">
        <x:f t="shared" si="135"/>
        <x:v>9.4899884444827731E-3</x:v>
      </x:c>
      <x:c r="O176" s="62">
        <x:f t="shared" si="136"/>
        <x:v>1075444986.3280101</x:v>
      </x:c>
      <x:c r="R176" s="44">
        <x:v>31</x:v>
      </x:c>
      <x:c r="S176" s="58">
        <x:f t="shared" si="156"/>
        <x:v>46965</x:v>
      </x:c>
      <x:c r="T176" s="88">
        <x:f t="shared" si="137"/>
        <x:v>8.3915432688193275E-9</x:v>
      </x:c>
      <x:c r="U176" s="60">
        <x:f t="shared" si="138"/>
        <x:v>0.99999999160845676</x:v>
      </x:c>
      <x:c r="V176" s="50">
        <x:f t="shared" si="139"/>
        <x:v>1.2107839680152945</x:v>
      </x:c>
      <x:c r="W176" s="62">
        <x:f t="shared" si="140"/>
        <x:v>144286208.03921604</x:v>
      </x:c>
      <x:c r="Y176" s="44">
        <x:v>31</x:v>
      </x:c>
      <x:c r="Z176" s="58">
        <x:f t="shared" si="157"/>
        <x:v>46965</x:v>
      </x:c>
      <x:c r="AA176" s="88">
        <x:f t="shared" si="141"/>
        <x:v>8.4952928060121696E-2</x:v>
      </x:c>
      <x:c r="AB176" s="60">
        <x:f t="shared" si="142"/>
        <x:v>0.91504707193987833</x:v>
      </x:c>
      <x:c r="AC176" s="50">
        <x:f t="shared" si="143"/>
        <x:v>19270441276.229107</x:v>
      </x:c>
      <x:c r="AD176" s="62">
        <x:f t="shared" si="144"/>
        <x:v>207566251893.32593</x:v>
      </x:c>
      <x:c r="AF176" s="44">
        <x:v>31</x:v>
      </x:c>
      <x:c r="AG176" s="58">
        <x:f t="shared" si="158"/>
        <x:v>46965</x:v>
      </x:c>
      <x:c r="AH176" s="88">
        <x:f t="shared" si="145"/>
        <x:v>6.102301617077208E-3</x:v>
      </x:c>
      <x:c r="AI176" s="60">
        <x:f t="shared" si="146"/>
        <x:v>0.99389769838292275</x:v>
      </x:c>
      <x:c r="AJ176" s="50">
        <x:f t="shared" si="147"/>
        <x:v>218574950.96127293</x:v>
      </x:c>
      <x:c r="AK176" s="62">
        <x:f t="shared" si="148"/>
        <x:v>35599869412.652924</x:v>
      </x:c>
      <x:c r="AM176" s="44">
        <x:v>31</x:v>
      </x:c>
      <x:c r="AN176" s="58">
        <x:f t="shared" si="159"/>
        <x:v>46965</x:v>
      </x:c>
      <x:c r="AO176" s="88">
        <x:f t="shared" si="149"/>
        <x:v>0.64728411256779717</x:v>
      </x:c>
      <x:c r="AP176" s="60">
        <x:f t="shared" si="150"/>
        <x:v>0.35271588743220283</x:v>
      </x:c>
      <x:c r="AQ176" s="50">
        <x:f t="shared" si="151"/>
        <x:v>330029955080.30615</x:v>
      </x:c>
      <x:c r="AR176" s="62">
        <x:f t="shared" si="152"/>
        <x:v>179838816101.27985</x:v>
      </x:c>
    </x:row>
    <x:row r="177">
      <x:c r="B177" s="44">
        <x:v>32</x:v>
      </x:c>
      <x:c r="C177" s="58">
        <x:f t="shared" si="153"/>
        <x:v>46996</x:v>
      </x:c>
      <x:c r="D177" s="88">
        <x:f t="shared" si="129"/>
        <x:v>2.8387043016319305E-5</x:v>
      </x:c>
      <x:c r="E177" s="60">
        <x:f t="shared" si="130"/>
        <x:v>0.99997161295698367</x:v>
      </x:c>
      <x:c r="F177" s="50">
        <x:f t="shared" si="131"/>
        <x:v>11588820.000756111</x:v>
      </x:c>
      <x:c r="G177" s="62">
        <x:f t="shared" si="132"/>
        <x:v>408231707041.9129</x:v>
      </x:c>
      <x:c r="J177" s="44">
        <x:f t="shared" si="154"/>
        <x:v>32</x:v>
      </x:c>
      <x:c r="K177" s="58">
        <x:f t="shared" si="155"/>
        <x:v>46996</x:v>
      </x:c>
      <x:c r="L177" s="88">
        <x:f t="shared" si="133"/>
        <x:v>3.8822762531053695E-12</x:v>
      </x:c>
      <x:c r="M177" s="60">
        <x:f t="shared" si="134"/>
        <x:v>0.99999999999611777</x:v>
      </x:c>
      <x:c r="N177" s="50">
        <x:f t="shared" si="135"/>
        <x:v>4.1751745319793055E-3</x:v>
      </x:c>
      <x:c r="O177" s="62">
        <x:f t="shared" si="136"/>
        <x:v>1075444986.3333249</x:v>
      </x:c>
      <x:c r="R177" s="44">
        <x:v>32</x:v>
      </x:c>
      <x:c r="S177" s="58">
        <x:f t="shared" si="156"/>
        <x:v>46996</x:v>
      </x:c>
      <x:c r="T177" s="88">
        <x:f t="shared" si="137"/>
        <x:v>4.6059647211990661E-9</x:v>
      </x:c>
      <x:c r="U177" s="60">
        <x:f t="shared" si="138"/>
        <x:v>0.99999999539403528</x:v>
      </x:c>
      <x:c r="V177" s="50">
        <x:f t="shared" si="139"/>
        <x:v>0.66457718956104639</x:v>
      </x:c>
      <x:c r="W177" s="62">
        <x:f t="shared" si="140"/>
        <x:v>144286208.58542281</x:v>
      </x:c>
      <x:c r="Y177" s="44">
        <x:v>32</x:v>
      </x:c>
      <x:c r="Z177" s="58">
        <x:f t="shared" si="157"/>
        <x:v>46996</x:v>
      </x:c>
      <x:c r="AA177" s="88">
        <x:f t="shared" si="141"/>
        <x:v>7.8457726350441098E-2</x:v>
      </x:c>
      <x:c r="AB177" s="60">
        <x:f t="shared" si="142"/>
        <x:v>0.92154227364955887</x:v>
      </x:c>
      <x:c r="AC177" s="50">
        <x:f t="shared" si="143"/>
        <x:v>17797091198.935921</x:v>
      </x:c>
      <x:c r="AD177" s="62">
        <x:f t="shared" si="144"/>
        <x:v>209039601970.61911</x:v>
      </x:c>
      <x:c r="AF177" s="44">
        <x:v>32</x:v>
      </x:c>
      <x:c r="AG177" s="58">
        <x:f t="shared" si="158"/>
        <x:v>46996</x:v>
      </x:c>
      <x:c r="AH177" s="88">
        <x:f t="shared" si="145"/>
        <x:v>5.1767594091509106E-3</x:v>
      </x:c>
      <x:c r="AI177" s="60">
        <x:f t="shared" si="146"/>
        <x:v>0.99482324059084903</x:v>
      </x:c>
      <x:c r="AJ177" s="50">
        <x:f t="shared" si="147"/>
        <x:v>185423468.88048819</x:v>
      </x:c>
      <x:c r="AK177" s="62">
        <x:f t="shared" si="148"/>
        <x:v>35633020894.733711</x:v>
      </x:c>
      <x:c r="AM177" s="44">
        <x:v>32</x:v>
      </x:c>
      <x:c r="AN177" s="58">
        <x:f t="shared" si="159"/>
        <x:v>46996</x:v>
      </x:c>
      <x:c r="AO177" s="88">
        <x:f t="shared" si="149"/>
        <x:v>0.63826530287087202</x:v>
      </x:c>
      <x:c r="AP177" s="60">
        <x:f t="shared" si="150"/>
        <x:v>0.36173469712912798</x:v>
      </x:c>
      <x:c r="AQ177" s="50">
        <x:f t="shared" si="151"/>
        <x:v>325431545662.61432</x:v>
      </x:c>
      <x:c r="AR177" s="62">
        <x:f t="shared" si="152"/>
        <x:v>184437225518.97168</x:v>
      </x:c>
    </x:row>
    <x:row r="178">
      <x:c r="B178" s="44">
        <x:v>33</x:v>
      </x:c>
      <x:c r="C178" s="58">
        <x:f t="shared" si="153"/>
        <x:v>47026</x:v>
      </x:c>
      <x:c r="D178" s="88" t="n">
        <x:f t="shared" ref="D178:D209" si="160">MIN(1,EXP(B178*$H$4))</x:f>
        <x:v>0.00002046586762490506</x:v>
      </x:c>
      <x:c r="E178" s="60" t="n">
        <x:f t="shared" ref="E178:E209" si="161">1-D178</x:f>
        <x:v>0.9999795341323751</x:v>
      </x:c>
      <x:c r="F178" s="50" t="n">
        <x:f t="shared" ref="F178:F209" si="162">D178*$C$139</x:f>
        <x:v>8355053.251864876</x:v>
      </x:c>
      <x:c r="G178" s="62" t="n">
        <x:f t="shared" ref="G178:G209" si="163">$C$139-F178</x:f>
        <x:v>408234940808.66174</x:v>
      </x:c>
      <x:c r="J178" s="44">
        <x:f t="shared" si="154"/>
        <x:v>33</x:v>
      </x:c>
      <x:c r="K178" s="58">
        <x:f t="shared" si="155"/>
        <x:v>47026</x:v>
      </x:c>
      <x:c r="L178" s="88" t="n">
        <x:f t="shared" ref="L178:L209" si="164">MIN(1,EXP(J178*$P$4))</x:f>
        <x:v>1.7080295758944962e-12</x:v>
      </x:c>
      <x:c r="M178" s="60" t="n">
        <x:f t="shared" ref="M178:M209" si="165">1-L178</x:f>
        <x:v>0.9999999999982919</x:v>
      </x:c>
      <x:c r="N178" s="50" t="n">
        <x:f t="shared" ref="N178:N209" si="166">L178*$K$139</x:f>
        <x:v>0.0018368918439119026</x:v>
      </x:c>
      <x:c r="O178" s="62" t="n">
        <x:f t="shared" ref="O178:O209" si="167">$K$139-N178</x:f>
        <x:v>1075444986.3356633</x:v>
      </x:c>
      <x:c r="R178" s="44">
        <x:v>33</x:v>
      </x:c>
      <x:c r="S178" s="58">
        <x:f t="shared" si="156"/>
        <x:v>47026</x:v>
      </x:c>
      <x:c r="T178" s="88" t="n">
        <x:f t="shared" ref="T178:T209" si="168">EXP(R178*$X$4)</x:f>
        <x:v>2.5281298485058376e-9</x:v>
      </x:c>
      <x:c r="U178" s="60" t="n">
        <x:f t="shared" ref="U178:U209" si="169">1-T178</x:f>
        <x:v>0.9999999974718702</x:v>
      </x:c>
      <x:c r="V178" s="50" t="n">
        <x:f t="shared" ref="V178:V209" si="170">T178*$S$139</x:f>
        <x:v>0.36477427233268406</x:v>
      </x:c>
      <x:c r="W178" s="62" t="n">
        <x:f t="shared" ref="W178:W209" si="171">$S$139-V178</x:f>
        <x:v>144286208.8852257</x:v>
      </x:c>
      <x:c r="Y178" s="44">
        <x:v>33</x:v>
      </x:c>
      <x:c r="Z178" s="58">
        <x:f t="shared" si="157"/>
        <x:v>47026</x:v>
      </x:c>
      <x:c r="AA178" s="88" t="n">
        <x:f t="shared" ref="AA178:AA209" si="172">MIN(1,EXP(Y178*$AE$4))</x:f>
        <x:v>0.07245912489001362</x:v>
      </x:c>
      <x:c r="AB178" s="60" t="n">
        <x:f t="shared" ref="AB178:AB209" si="173">1-AA178</x:f>
        <x:v>0.9275408751099864</x:v>
      </x:c>
      <x:c r="AC178" s="50" t="n">
        <x:f t="shared" ref="AC178:AC209" si="174">AA178*$Z$139</x:f>
        <x:v>16436388280.010487</x:v>
      </x:c>
      <x:c r="AD178" s="62" t="n">
        <x:f t="shared" ref="AD178:AD209" si="175">$Z$139-AC178</x:f>
        <x:v>210400304889.54453</x:v>
      </x:c>
      <x:c r="AF178" s="44">
        <x:v>33</x:v>
      </x:c>
      <x:c r="AG178" s="58">
        <x:f t="shared" si="158"/>
        <x:v>47026</x:v>
      </x:c>
      <x:c r="AH178" s="88" t="n">
        <x:f t="shared" ref="AH178:AH209" si="176">MIN(1,EXP(AF178*$AL$4))</x:f>
        <x:v>0.004391595116379745</x:v>
      </x:c>
      <x:c r="AI178" s="60" t="n">
        <x:f t="shared" ref="AI178:AI209" si="177">1-AH178</x:f>
        <x:v>0.9956084048836202</x:v>
      </x:c>
      <x:c r="AJ178" s="50" t="n">
        <x:f t="shared" ref="AJ178:AJ209" si="178">AH178*$AG$139</x:f>
        <x:v>157300105.34356773</x:v>
      </x:c>
      <x:c r="AK178" s="62" t="n">
        <x:f t="shared" ref="AK178:AK209" si="179">$AG$139-AJ178</x:f>
        <x:v>35661144258.27063</x:v>
      </x:c>
      <x:c r="AM178" s="44">
        <x:v>33</x:v>
      </x:c>
      <x:c r="AN178" s="58">
        <x:f t="shared" si="159"/>
        <x:v>47026</x:v>
      </x:c>
      <x:c r="AO178" s="88" t="n">
        <x:f t="shared" ref="AO178:AO209" si="180">MIN(1,EXP(AM178*$AR$4))</x:f>
        <x:v>0.6293721550382968</x:v>
      </x:c>
      <x:c r="AP178" s="60" t="n">
        <x:f t="shared" ref="AP178:AP209" si="181">1-AO178</x:f>
        <x:v>0.3706278449617032</x:v>
      </x:c>
      <x:c r="AQ178" s="50" t="n">
        <x:f t="shared" ref="AQ178:AQ209" si="182">AO178*$AN$139</x:f>
        <x:v>320897207305.283</x:v>
      </x:c>
      <x:c r="AR178" s="62" t="n">
        <x:f t="shared" ref="AR178:AR209" si="183">$AN$139-AQ178</x:f>
        <x:v>188971563876.30298</x:v>
      </x:c>
    </x:row>
    <x:row r="179">
      <x:c r="B179" s="44">
        <x:v>34</x:v>
      </x:c>
      <x:c r="C179" s="58" t="n">
        <x:f t="shared" ref="C179:C210" si="184">EOMONTH(C178,1)</x:f>
        <x:v>47057</x:v>
      </x:c>
      <x:c r="D179" s="88">
        <x:f t="shared" si="160"/>
        <x:v>1.4755032336384775E-5</x:v>
      </x:c>
      <x:c r="E179" s="60">
        <x:f t="shared" si="161"/>
        <x:v>0.99998524496766361</x:v>
      </x:c>
      <x:c r="F179" s="50">
        <x:f t="shared" si="162"/>
        <x:v>6023643.0315548331</x:v>
      </x:c>
      <x:c r="G179" s="62">
        <x:f t="shared" si="163"/>
        <x:v>408237272218.88208</x:v>
      </x:c>
      <x:c r="J179" s="44" t="n">
        <x:f t="shared" ref="J179:J210" si="185">J178+1</x:f>
        <x:v>34</x:v>
      </x:c>
      <x:c r="K179" s="58" t="n">
        <x:f t="shared" ref="K179:K210" si="186">EOMONTH(K178,1)</x:f>
        <x:v>47057</x:v>
      </x:c>
      <x:c r="L179" s="88">
        <x:f t="shared" si="164"/>
        <x:v>7.5145735180405567E-13</x:v>
      </x:c>
      <x:c r="M179" s="60">
        <x:f t="shared" si="165"/>
        <x:v>0.99999999999924849</x:v>
      </x:c>
      <x:c r="N179" s="50">
        <x:f t="shared" si="166"/>
        <x:v>8.0815104144412668E-4</x:v>
      </x:c>
      <x:c r="O179" s="62">
        <x:f t="shared" si="167"/>
        <x:v>1075444986.3366919</x:v>
      </x:c>
      <x:c r="R179" s="44">
        <x:v>34</x:v>
      </x:c>
      <x:c r="S179" s="58" t="n">
        <x:f t="shared" ref="S179:S210" si="187">EOMONTH(S178,1)</x:f>
        <x:v>47057</x:v>
      </x:c>
      <x:c r="T179" s="88">
        <x:f t="shared" si="168"/>
        <x:v>1.3876442651610829E-9</x:v>
      </x:c>
      <x:c r="U179" s="60">
        <x:f t="shared" si="169"/>
        <x:v>0.99999999861235578</x:v>
      </x:c>
      <x:c r="V179" s="50">
        <x:f t="shared" si="170"/>
        <x:v>0.20021793080759451</x:v>
      </x:c>
      <x:c r="W179" s="62">
        <x:f t="shared" si="171"/>
        <x:v>144286209.04978207</x:v>
      </x:c>
      <x:c r="Y179" s="44">
        <x:v>34</x:v>
      </x:c>
      <x:c r="Z179" s="58" t="n">
        <x:f t="shared" ref="Z179:Z210" si="188">EOMONTH(Z178,1)</x:f>
        <x:v>47057</x:v>
      </x:c>
      <x:c r="AA179" s="88">
        <x:f t="shared" si="172"/>
        <x:v>6.6919155372606245E-2</x:v>
      </x:c>
      <x:c r="AB179" s="60">
        <x:f t="shared" si="173"/>
        <x:v>0.93308084462739371</x:v>
      </x:c>
      <x:c r="AC179" s="50">
        <x:f t="shared" si="174"/>
        <x:v>15179719914.421663</x:v>
      </x:c>
      <x:c r="AD179" s="62">
        <x:f t="shared" si="175"/>
        <x:v>211656973255.13336</x:v>
      </x:c>
      <x:c r="AF179" s="44">
        <x:v>34</x:v>
      </x:c>
      <x:c r="AG179" s="58" t="n">
        <x:f t="shared" ref="AG179:AG210" si="189">EOMONTH(AG178,1)</x:f>
        <x:v>47057</x:v>
      </x:c>
      <x:c r="AH179" s="88">
        <x:f t="shared" si="176"/>
        <x:v>3.7255174795487976E-3</x:v>
      </x:c>
      <x:c r="AI179" s="60">
        <x:f t="shared" si="177"/>
        <x:v>0.99627448252045125</x:v>
      </x:c>
      <x:c r="AJ179" s="50">
        <x:f t="shared" si="178"/>
        <x:v>133442240.56689079</x:v>
      </x:c>
      <x:c r="AK179" s="62">
        <x:f t="shared" si="179"/>
        <x:v>35685002123.047302</x:v>
      </x:c>
      <x:c r="AM179" s="44">
        <x:v>34</x:v>
      </x:c>
      <x:c r="AN179" s="58" t="n">
        <x:f t="shared" ref="AN179:AN210" si="190">EOMONTH(AN178,1)</x:f>
        <x:v>47057</x:v>
      </x:c>
      <x:c r="AO179" s="88">
        <x:f t="shared" si="180"/>
        <x:v>0.62060291818445767</x:v>
      </x:c>
      <x:c r="AP179" s="60">
        <x:f t="shared" si="181"/>
        <x:v>0.37939708181554233</x:v>
      </x:c>
      <x:c r="AQ179" s="50">
        <x:f t="shared" si="182"/>
        <x:v>316426047286.41577</x:v>
      </x:c>
      <x:c r="AR179" s="62">
        <x:f t="shared" si="183"/>
        <x:v>193442723895.17023</x:v>
      </x:c>
    </x:row>
    <x:row r="180">
      <x:c r="B180" s="44">
        <x:v>35</x:v>
      </x:c>
      <x:c r="C180" s="58">
        <x:f t="shared" si="184"/>
        <x:v>47087</x:v>
      </x:c>
      <x:c r="D180" s="88">
        <x:f t="shared" si="160"/>
        <x:v>1.0637759573057453E-5</x:v>
      </x:c>
      <x:c r="E180" s="60">
        <x:f t="shared" si="161"/>
        <x:v>0.99998936224042689</x:v>
      </x:c>
      <x:c r="F180" s="50">
        <x:f t="shared" si="162"/>
        <x:v>4342794.0286915982</x:v>
      </x:c>
      <x:c r="G180" s="62">
        <x:f t="shared" si="163"/>
        <x:v>408238953067.88495</x:v>
      </x:c>
      <x:c r="J180" s="44">
        <x:f t="shared" si="185"/>
        <x:v>35</x:v>
      </x:c>
      <x:c r="K180" s="58">
        <x:f t="shared" si="186"/>
        <x:v>47087</x:v>
      </x:c>
      <x:c r="L180" s="88">
        <x:f t="shared" si="164"/>
        <x:v>3.3060794704601926E-13</x:v>
      </x:c>
      <x:c r="M180" s="60">
        <x:f t="shared" si="165"/>
        <x:v>0.99999999999966938</x:v>
      </x:c>
      <x:c r="N180" s="50">
        <x:f t="shared" si="166"/>
        <x:v>3.5555065909397514E-4</x:v>
      </x:c>
      <x:c r="O180" s="62">
        <x:f t="shared" si="167"/>
        <x:v>1075444986.3371446</x:v>
      </x:c>
      <x:c r="R180" s="44">
        <x:v>35</x:v>
      </x:c>
      <x:c r="S180" s="58">
        <x:f t="shared" si="187"/>
        <x:v>47087</x:v>
      </x:c>
      <x:c r="T180" s="88">
        <x:f t="shared" si="168"/>
        <x:v>7.6165257404498994E-10</x:v>
      </x:c>
      <x:c r="U180" s="60">
        <x:f t="shared" si="169"/>
        <x:v>0.99999999923834748</x:v>
      </x:c>
      <x:c r="V180" s="50">
        <x:f t="shared" si="170"/>
        <x:v>0.10989596267445653</x:v>
      </x:c>
      <x:c r="W180" s="62">
        <x:f t="shared" si="171"/>
        <x:v>144286209.14010403</x:v>
      </x:c>
      <x:c r="Y180" s="44">
        <x:v>35</x:v>
      </x:c>
      <x:c r="Z180" s="58">
        <x:f t="shared" si="188"/>
        <x:v>47087</x:v>
      </x:c>
      <x:c r="AA180" s="88">
        <x:f t="shared" si="172"/>
        <x:v>6.1802752414971553E-2</x:v>
      </x:c>
      <x:c r="AB180" s="60">
        <x:f t="shared" si="173"/>
        <x:v>0.93819724758502843</x:v>
      </x:c>
      <x:c r="AC180" s="50">
        <x:f t="shared" si="174"/>
        <x:v>14019131986.588879</x:v>
      </x:c>
      <x:c r="AD180" s="62">
        <x:f t="shared" si="175"/>
        <x:v>212817561182.96616</x:v>
      </x:c>
      <x:c r="AF180" s="44">
        <x:v>35</x:v>
      </x:c>
      <x:c r="AG180" s="58">
        <x:f t="shared" si="189"/>
        <x:v>47087</x:v>
      </x:c>
      <x:c r="AH180" s="88">
        <x:f t="shared" si="176"/>
        <x:v>3.1604645060870993E-3</x:v>
      </x:c>
      <x:c r="AI180" s="60">
        <x:f t="shared" si="177"/>
        <x:v>0.99683953549391291</x:v>
      </x:c>
      <x:c r="AJ180" s="50">
        <x:f t="shared" si="178"/>
        <x:v>113202922.07445818</x:v>
      </x:c>
      <x:c r="AK180" s="62">
        <x:f t="shared" si="179"/>
        <x:v>35705241441.539742</x:v>
      </x:c>
      <x:c r="AM180" s="44">
        <x:v>35</x:v>
      </x:c>
      <x:c r="AN180" s="58">
        <x:f t="shared" si="190"/>
        <x:v>47087</x:v>
      </x:c>
      <x:c r="AO180" s="88">
        <x:f t="shared" si="180"/>
        <x:v>0.61195586581937156</x:v>
      </x:c>
      <x:c r="AP180" s="60">
        <x:f t="shared" si="181"/>
        <x:v>0.38804413418062844</x:v>
      </x:c>
      <x:c r="AQ180" s="50">
        <x:f t="shared" si="182"/>
        <x:v>312017185322.68652</x:v>
      </x:c>
      <x:c r="AR180" s="62">
        <x:f t="shared" si="183"/>
        <x:v>197851585858.89948</x:v>
      </x:c>
    </x:row>
    <x:row r="181">
      <x:c r="B181" s="44">
        <x:v>36</x:v>
      </x:c>
      <x:c r="C181" s="58">
        <x:f t="shared" si="184"/>
        <x:v>47118</x:v>
      </x:c>
      <x:c r="D181" s="88">
        <x:f t="shared" si="160"/>
        <x:v>7.6693785655167188E-6</x:v>
      </x:c>
      <x:c r="E181" s="60">
        <x:f t="shared" si="161"/>
        <x:v>0.99999233062143444</x:v>
      </x:c>
      <x:c r="F181" s="50">
        <x:f t="shared" si="162"/>
        <x:v>3130972.3827992608</x:v>
      </x:c>
      <x:c r="G181" s="62">
        <x:f t="shared" si="163"/>
        <x:v>408240164889.53082</x:v>
      </x:c>
      <x:c r="J181" s="44">
        <x:f t="shared" si="185"/>
        <x:v>36</x:v>
      </x:c>
      <x:c r="K181" s="58">
        <x:f t="shared" si="186"/>
        <x:v>47118</x:v>
      </x:c>
      <x:c r="L181" s="88">
        <x:f t="shared" si="164"/>
        <x:v>1.4545285156579921E-13</x:v>
      </x:c>
      <x:c r="M181" s="60">
        <x:f t="shared" si="165"/>
        <x:v>0.99999999999985456</x:v>
      </x:c>
      <x:c r="N181" s="50">
        <x:f t="shared" si="166"/>
        <x:v>1.5642653996493137E-4</x:v>
      </x:c>
      <x:c r="O181" s="62">
        <x:f t="shared" si="167"/>
        <x:v>1075444986.3373437</x:v>
      </x:c>
      <x:c r="R181" s="44">
        <x:v>36</x:v>
      </x:c>
      <x:c r="S181" s="58">
        <x:f t="shared" si="187"/>
        <x:v>47118</x:v>
      </x:c>
      <x:c r="T181" s="88">
        <x:f t="shared" si="168"/>
        <x:v>4.1805717655022697E-10</x:v>
      </x:c>
      <x:c r="U181" s="60">
        <x:f t="shared" si="169"/>
        <x:v>0.99999999958194286</x:v>
      </x:c>
      <x:c r="V181" s="50">
        <x:f t="shared" si="170"/>
        <x:v>6.0319885254190242E-2</x:v>
      </x:c>
      <x:c r="W181" s="62">
        <x:f t="shared" si="171"/>
        <x:v>144286209.18968013</x:v>
      </x:c>
      <x:c r="Y181" s="44">
        <x:v>36</x:v>
      </x:c>
      <x:c r="Z181" s="58">
        <x:f t="shared" si="188"/>
        <x:v>47118</x:v>
      </x:c>
      <x:c r="AA181" s="88">
        <x:f t="shared" si="172"/>
        <x:v>5.7077531609579166E-2</x:v>
      </x:c>
      <x:c r="AB181" s="60">
        <x:f t="shared" si="173"/>
        <x:v>0.94292246839042082</x:v>
      </x:c>
      <x:c r="AC181" s="50">
        <x:f t="shared" si="174"/>
        <x:v>12947278524.597687</x:v>
      </x:c>
      <x:c r="AD181" s="62">
        <x:f t="shared" si="175"/>
        <x:v>213889414644.95734</x:v>
      </x:c>
      <x:c r="AF181" s="44">
        <x:v>36</x:v>
      </x:c>
      <x:c r="AG181" s="58">
        <x:f t="shared" si="189"/>
        <x:v>47118</x:v>
      </x:c>
      <x:c r="AH181" s="88">
        <x:f t="shared" si="176"/>
        <x:v>2.6811136839562208E-3</x:v>
      </x:c>
      <x:c r="AI181" s="60">
        <x:f t="shared" si="177"/>
        <x:v>0.99731888631604382</x:v>
      </x:c>
      <x:c r="AJ181" s="50">
        <x:f t="shared" si="178"/>
        <x:v>96033321.321310595</x:v>
      </x:c>
      <x:c r="AK181" s="62">
        <x:f t="shared" si="179"/>
        <x:v>35722411042.292885</x:v>
      </x:c>
      <x:c r="AM181" s="44">
        <x:v>36</x:v>
      </x:c>
      <x:c r="AN181" s="58">
        <x:f t="shared" si="190"/>
        <x:v>47118</x:v>
      </x:c>
      <x:c r="AO181" s="88">
        <x:f t="shared" si="180"/>
        <x:v>0.60342929550877411</x:v>
      </x:c>
      <x:c r="AP181" s="60">
        <x:f t="shared" si="181"/>
        <x:v>0.39657070449122589</x:v>
      </x:c>
      <x:c r="AQ181" s="50">
        <x:f t="shared" si="182"/>
        <x:v>307669753396.02881</x:v>
      </x:c>
      <x:c r="AR181" s="62">
        <x:f t="shared" si="183"/>
        <x:v>202199017785.55719</x:v>
      </x:c>
    </x:row>
    <x:row r="182">
      <x:c r="B182" s="44">
        <x:v>37</x:v>
      </x:c>
      <x:c r="C182" s="58">
        <x:f t="shared" si="184"/>
        <x:v>47149</x:v>
      </x:c>
      <x:c r="D182" s="88">
        <x:f t="shared" si="160"/>
        <x:v>5.5293003359636675E-6</x:v>
      </x:c>
      <x:c r="E182" s="60">
        <x:f t="shared" si="161"/>
        <x:v>0.99999447069966407</x:v>
      </x:c>
      <x:c r="F182" s="50">
        <x:f t="shared" si="162"/>
        <x:v>2257299.792964194</x:v>
      </x:c>
      <x:c r="G182" s="62">
        <x:f t="shared" si="163"/>
        <x:v>408241038562.12067</x:v>
      </x:c>
      <x:c r="J182" s="44">
        <x:f t="shared" si="185"/>
        <x:v>37</x:v>
      </x:c>
      <x:c r="K182" s="58">
        <x:f t="shared" si="186"/>
        <x:v>47149</x:v>
      </x:c>
      <x:c r="L182" s="88">
        <x:f t="shared" si="164"/>
        <x:v>6.3992811478538088E-14</x:v>
      </x:c>
      <x:c r="M182" s="60">
        <x:f t="shared" si="165"/>
        <x:v>0.99999999999993605</x:v>
      </x:c>
      <x:c r="N182" s="50">
        <x:f t="shared" si="166"/>
        <x:v>6.8820748266234613E-5</x:v>
      </x:c>
      <x:c r="O182" s="62">
        <x:f t="shared" si="167"/>
        <x:v>1075444986.3374312</x:v>
      </x:c>
      <x:c r="R182" s="44">
        <x:v>37</x:v>
      </x:c>
      <x:c r="S182" s="58">
        <x:f t="shared" si="187"/>
        <x:v>47149</x:v>
      </x:c>
      <x:c r="T182" s="88">
        <x:f t="shared" si="168"/>
        <x:v>2.2946394303766209E-10</x:v>
      </x:c>
      <x:c r="U182" s="60">
        <x:f t="shared" si="169"/>
        <x:v>0.99999999977053611</x:v>
      </x:c>
      <x:c r="V182" s="50">
        <x:f t="shared" si="170"/>
        <x:v>3.3108482500462194E-2</x:v>
      </x:c>
      <x:c r="W182" s="62">
        <x:f t="shared" si="171"/>
        <x:v>144286209.21689153</x:v>
      </x:c>
      <x:c r="Y182" s="44">
        <x:v>37</x:v>
      </x:c>
      <x:c r="Z182" s="58">
        <x:f t="shared" si="188"/>
        <x:v>47149</x:v>
      </x:c>
      <x:c r="AA182" s="88">
        <x:f t="shared" si="172"/>
        <x:v>5.2713584546653702E-2</x:v>
      </x:c>
      <x:c r="AB182" s="60">
        <x:f t="shared" si="173"/>
        <x:v>0.94728641545334624</x:v>
      </x:c>
      <x:c r="AC182" s="50">
        <x:f t="shared" si="174"/>
        <x:v>11957375203.676683</x:v>
      </x:c>
      <x:c r="AD182" s="62">
        <x:f t="shared" si="175"/>
        <x:v>214879317965.87833</x:v>
      </x:c>
      <x:c r="AF182" s="44">
        <x:v>37</x:v>
      </x:c>
      <x:c r="AG182" s="58">
        <x:f t="shared" si="189"/>
        <x:v>47149</x:v>
      </x:c>
      <x:c r="AH182" s="88">
        <x:f t="shared" si="176"/>
        <x:v>2.2744664818897331E-3</x:v>
      </x:c>
      <x:c r="AI182" s="60">
        <x:f t="shared" si="177"/>
        <x:v>0.99772553351811022</x:v>
      </x:c>
      <x:c r="AJ182" s="50">
        <x:f t="shared" si="178"/>
        <x:v>81467851.138472721</x:v>
      </x:c>
      <x:c r="AK182" s="62">
        <x:f t="shared" si="179"/>
        <x:v>35736976512.475723</x:v>
      </x:c>
      <x:c r="AM182" s="44">
        <x:v>37</x:v>
      </x:c>
      <x:c r="AN182" s="58">
        <x:f t="shared" si="190"/>
        <x:v>47149</x:v>
      </x:c>
      <x:c r="AO182" s="88">
        <x:f t="shared" si="180"/>
        <x:v>0.59502152853894419</x:v>
      </x:c>
      <x:c r="AP182" s="60">
        <x:f t="shared" si="181"/>
        <x:v>0.40497847146105581</x:v>
      </x:c>
      <x:c r="AQ182" s="50">
        <x:f t="shared" si="182"/>
        <x:v>303382895582.74048</x:v>
      </x:c>
      <x:c r="AR182" s="62">
        <x:f t="shared" si="183"/>
        <x:v>206485875598.84552</x:v>
      </x:c>
    </x:row>
    <x:row r="183">
      <x:c r="B183" s="44">
        <x:v>38</x:v>
      </x:c>
      <x:c r="C183" s="58">
        <x:f t="shared" si="184"/>
        <x:v>47177</x:v>
      </x:c>
      <x:c r="D183" s="88">
        <x:f t="shared" si="160"/>
        <x:v>3.9863936750693022E-6</x:v>
      </x:c>
      <x:c r="E183" s="60">
        <x:f t="shared" si="161"/>
        <x:v>0.99999601360632495</x:v>
      </x:c>
      <x:c r="F183" s="50">
        <x:f t="shared" si="162"/>
        <x:v>1627418.4925133784</x:v>
      </x:c>
      <x:c r="G183" s="62">
        <x:f t="shared" si="163"/>
        <x:v>408241668443.42114</x:v>
      </x:c>
      <x:c r="J183" s="44">
        <x:f t="shared" si="185"/>
        <x:v>38</x:v>
      </x:c>
      <x:c r="K183" s="58">
        <x:f t="shared" si="186"/>
        <x:v>47177</x:v>
      </x:c>
      <x:c r="L183" s="88">
        <x:f t="shared" si="164"/>
        <x:v>2.8154002323393371E-14</x:v>
      </x:c>
      <x:c r="M183" s="60">
        <x:f t="shared" si="165"/>
        <x:v>0.9999999999999718</x:v>
      </x:c>
      <x:c r="N183" s="50">
        <x:f t="shared" si="166"/>
        <x:v>3.0278080644027731E-5</x:v>
      </x:c>
      <x:c r="O183" s="62">
        <x:f t="shared" si="167"/>
        <x:v>1075444986.3374698</x:v>
      </x:c>
      <x:c r="R183" s="44">
        <x:v>38</x:v>
      </x:c>
      <x:c r="S183" s="58">
        <x:f t="shared" si="187"/>
        <x:v>47177</x:v>
      </x:c>
      <x:c r="T183" s="88">
        <x:f t="shared" si="168"/>
        <x:v>1.259485642344078E-10</x:v>
      </x:c>
      <x:c r="U183" s="60">
        <x:f t="shared" si="169"/>
        <x:v>0.99999999987405142</x:v>
      </x:c>
      <x:c r="V183" s="50">
        <x:f t="shared" si="170"/>
        <x:v>1.8172640893862831E-2</x:v>
      </x:c>
      <x:c r="W183" s="62">
        <x:f t="shared" si="171"/>
        <x:v>144286209.23182735</x:v>
      </x:c>
      <x:c r="Y183" s="44">
        <x:v>38</x:v>
      </x:c>
      <x:c r="Z183" s="58">
        <x:f t="shared" si="188"/>
        <x:v>47177</x:v>
      </x:c>
      <x:c r="AA183" s="88">
        <x:f t="shared" si="172"/>
        <x:v>4.8683289508105888E-2</x:v>
      </x:c>
      <x:c r="AB183" s="60">
        <x:f t="shared" si="173"/>
        <x:v>0.95131671049189415</x:v>
      </x:c>
      <x:c r="AC183" s="50">
        <x:f t="shared" si="174"/>
        <x:v>11043156404.634832</x:v>
      </x:c>
      <x:c r="AD183" s="62">
        <x:f t="shared" si="175"/>
        <x:v>215793536764.9202</x:v>
      </x:c>
      <x:c r="AF183" s="44">
        <x:v>38</x:v>
      </x:c>
      <x:c r="AG183" s="58">
        <x:f t="shared" si="189"/>
        <x:v>47177</x:v>
      </x:c>
      <x:c r="AH183" s="88">
        <x:f t="shared" si="176"/>
        <x:v>1.929495868898162E-3</x:v>
      </x:c>
      <x:c r="AI183" s="60">
        <x:f t="shared" si="177"/>
        <x:v>0.99807050413110188</x:v>
      </x:c>
      <x:c r="AJ183" s="50">
        <x:f t="shared" si="178"/>
        <x:v>69111540.429952249</x:v>
      </x:c>
      <x:c r="AK183" s="62">
        <x:f t="shared" si="179"/>
        <x:v>35749332823.184242</x:v>
      </x:c>
      <x:c r="AM183" s="44">
        <x:v>38</x:v>
      </x:c>
      <x:c r="AN183" s="58">
        <x:f t="shared" si="190"/>
        <x:v>47177</x:v>
      </x:c>
      <x:c r="AO183" s="88">
        <x:f t="shared" si="180"/>
        <x:v>0.58673090958619767</x:v>
      </x:c>
      <x:c r="AP183" s="60">
        <x:f t="shared" si="181"/>
        <x:v>0.41326909041380233</x:v>
      </x:c>
      <x:c r="AQ183" s="50">
        <x:f t="shared" si="182"/>
        <x:v>299155767884.96887</x:v>
      </x:c>
      <x:c r="AR183" s="62">
        <x:f t="shared" si="183"/>
        <x:v>210713003296.61713</x:v>
      </x:c>
    </x:row>
    <x:row r="184">
      <x:c r="B184" s="44">
        <x:v>39</x:v>
      </x:c>
      <x:c r="C184" s="58">
        <x:f t="shared" si="184"/>
        <x:v>47208</x:v>
      </x:c>
      <x:c r="D184" s="88">
        <x:f t="shared" si="160"/>
        <x:v>2.8740226732254242E-6</x:v>
      </x:c>
      <x:c r="E184" s="60">
        <x:f t="shared" si="161"/>
        <x:v>0.99999712597732682</x:v>
      </x:c>
      <x:c r="F184" s="50">
        <x:f t="shared" si="162"/>
        <x:v>1173300.4884994149</x:v>
      </x:c>
      <x:c r="G184" s="62">
        <x:f t="shared" si="163"/>
        <x:v>408242122561.42511</x:v>
      </x:c>
      <x:c r="J184" s="44">
        <x:f t="shared" si="185"/>
        <x:v>39</x:v>
      </x:c>
      <x:c r="K184" s="58">
        <x:f t="shared" si="186"/>
        <x:v>47208</x:v>
      </x:c>
      <x:c r="L184" s="88">
        <x:f t="shared" si="164"/>
        <x:v>1.2386513867912855E-14</x:v>
      </x:c>
      <x:c r="M184" s="60">
        <x:f t="shared" si="165"/>
        <x:v>0.99999999999998757</x:v>
      </x:c>
      <x:c r="N184" s="50">
        <x:f t="shared" si="166"/>
        <x:v>1.3321014237446796E-5</x:v>
      </x:c>
      <x:c r="O184" s="62">
        <x:f t="shared" si="167"/>
        <x:v>1075444986.3374867</x:v>
      </x:c>
      <x:c r="R184" s="44">
        <x:v>39</x:v>
      </x:c>
      <x:c r="S184" s="58">
        <x:f t="shared" si="187"/>
        <x:v>47208</x:v>
      </x:c>
      <x:c r="T184" s="88">
        <x:f t="shared" si="168"/>
        <x:v>6.9130864844003559E-11</x:v>
      </x:c>
      <x:c r="U184" s="60">
        <x:f t="shared" si="169"/>
        <x:v>0.99999999993086919</x:v>
      </x:c>
      <x:c r="V184" s="50">
        <x:f t="shared" si="170"/>
        <x:v>9.9746304305153664E-3</x:v>
      </x:c>
      <x:c r="W184" s="62">
        <x:f t="shared" si="171"/>
        <x:v>144286209.24002537</x:v>
      </x:c>
      <x:c r="Y184" s="44">
        <x:v>39</x:v>
      </x:c>
      <x:c r="Z184" s="58">
        <x:f t="shared" si="188"/>
        <x:v>47208</x:v>
      </x:c>
      <x:c r="AA184" s="88">
        <x:f t="shared" si="172"/>
        <x:v>4.4961136635139079E-2</x:v>
      </x:c>
      <x:c r="AB184" s="60">
        <x:f t="shared" si="173"/>
        <x:v>0.95503886336486088</x:v>
      </x:c>
      <x:c r="AC184" s="50">
        <x:f t="shared" si="174"/>
        <x:v>10198835555.459482</x:v>
      </x:c>
      <x:c r="AD184" s="62">
        <x:f t="shared" si="175"/>
        <x:v>216637857614.09555</x:v>
      </x:c>
      <x:c r="AF184" s="44">
        <x:v>39</x:v>
      </x:c>
      <x:c r="AG184" s="58">
        <x:f t="shared" si="189"/>
        <x:v>47208</x:v>
      </x:c>
      <x:c r="AH184" s="88">
        <x:f t="shared" si="176"/>
        <x:v>1.6368472948442257E-3</x:v>
      </x:c>
      <x:c r="AI184" s="60">
        <x:f t="shared" si="177"/>
        <x:v>0.99836315270515574</x:v>
      </x:c>
      <x:c r="AJ184" s="50">
        <x:f t="shared" si="178"/>
        <x:v>58629323.7621103</x:v>
      </x:c>
      <x:c r="AK184" s="62">
        <x:f t="shared" si="179"/>
        <x:v>35759815039.852089</x:v>
      </x:c>
      <x:c r="AM184" s="44">
        <x:v>39</x:v>
      </x:c>
      <x:c r="AN184" s="58">
        <x:f t="shared" si="190"/>
        <x:v>47208</x:v>
      </x:c>
      <x:c r="AO184" s="88">
        <x:f t="shared" si="180"/>
        <x:v>0.57855580639098758</x:v>
      </x:c>
      <x:c r="AP184" s="60">
        <x:f t="shared" si="181"/>
        <x:v>0.42144419360901242</x:v>
      </x:c>
      <x:c r="AQ184" s="50">
        <x:f t="shared" si="182"/>
        <x:v>294987538064.54443</x:v>
      </x:c>
      <x:c r="AR184" s="62">
        <x:f t="shared" si="183"/>
        <x:v>214881233117.04156</x:v>
      </x:c>
    </x:row>
    <x:row r="185">
      <x:c r="B185" s="44">
        <x:v>40</x:v>
      </x:c>
      <x:c r="C185" s="58">
        <x:f t="shared" si="184"/>
        <x:v>47238</x:v>
      </x:c>
      <x:c r="D185" s="88">
        <x:f t="shared" si="160"/>
        <x:v>2.0720498273593654E-6</x:v>
      </x:c>
      <x:c r="E185" s="60">
        <x:f t="shared" si="161"/>
        <x:v>0.99999792795017262</x:v>
      </x:c>
      <x:c r="F185" s="50">
        <x:f t="shared" si="162"/>
        <x:v>845900.45071129652</x:v>
      </x:c>
      <x:c r="G185" s="62">
        <x:f t="shared" si="163"/>
        <x:v>408242449961.46295</x:v>
      </x:c>
      <x:c r="J185" s="44">
        <x:f t="shared" si="185"/>
        <x:v>40</x:v>
      </x:c>
      <x:c r="K185" s="58">
        <x:f t="shared" si="186"/>
        <x:v>47238</x:v>
      </x:c>
      <x:c r="L185" s="88">
        <x:f t="shared" si="164"/>
        <x:v>5.4495174092002472E-15</x:v>
      </x:c>
      <x:c r="M185" s="60">
        <x:f t="shared" si="165"/>
        <x:v>0.99999999999999456</x:v>
      </x:c>
      <x:c r="N185" s="50">
        <x:f t="shared" si="166"/>
        <x:v>5.860656175683329E-6</x:v>
      </x:c>
      <x:c r="O185" s="62">
        <x:f t="shared" si="167"/>
        <x:v>1075444986.3374941</x:v>
      </x:c>
      <x:c r="R185" s="44">
        <x:v>40</x:v>
      </x:c>
      <x:c r="S185" s="58">
        <x:f t="shared" si="187"/>
        <x:v>47238</x:v>
      </x:c>
      <x:c r="T185" s="88">
        <x:f t="shared" si="168"/>
        <x:v>3.7944668151876358E-11</x:v>
      </x:c>
      <x:c r="U185" s="60">
        <x:f t="shared" si="169"/>
        <x:v>0.99999999996205535</x:v>
      </x:c>
      <x:c r="V185" s="50">
        <x:f t="shared" si="170"/>
        <x:v>5.4748923288834433E-3</x:v>
      </x:c>
      <x:c r="W185" s="62">
        <x:f t="shared" si="171"/>
        <x:v>144286209.2445251</x:v>
      </x:c>
      <x:c r="Y185" s="44">
        <x:v>40</x:v>
      </x:c>
      <x:c r="Z185" s="58">
        <x:f t="shared" si="188"/>
        <x:v>47238</x:v>
      </x:c>
      <x:c r="AA185" s="88">
        <x:f t="shared" si="172"/>
        <x:v>4.1523566462924821E-2</x:v>
      </x:c>
      <x:c r="AB185" s="60">
        <x:f t="shared" si="173"/>
        <x:v>0.95847643353707523</x:v>
      </x:c>
      <x:c r="AC185" s="50">
        <x:f t="shared" si="174"/>
        <x:v>9419068505.0561028</x:v>
      </x:c>
      <x:c r="AD185" s="62">
        <x:f t="shared" si="175"/>
        <x:v>217417624664.49893</x:v>
      </x:c>
      <x:c r="AF185" s="44">
        <x:v>40</x:v>
      </x:c>
      <x:c r="AG185" s="58">
        <x:f t="shared" si="189"/>
        <x:v>47238</x:v>
      </x:c>
      <x:c r="AH185" s="88">
        <x:f t="shared" si="176"/>
        <x:v>1.3885850235941968E-3</x:v>
      </x:c>
      <x:c r="AI185" s="60">
        <x:f t="shared" si="177"/>
        <x:v>0.99861141497640582</x:v>
      </x:c>
      <x:c r="AJ185" s="50">
        <x:f t="shared" si="178"/>
        <x:v>49736955.411756642</x:v>
      </x:c>
      <x:c r="AK185" s="62">
        <x:f t="shared" si="179"/>
        <x:v>35768707408.202438</x:v>
      </x:c>
      <x:c r="AM185" s="44">
        <x:v>40</x:v>
      </x:c>
      <x:c r="AN185" s="58">
        <x:f t="shared" si="190"/>
        <x:v>47238</x:v>
      </x:c>
      <x:c r="AO185" s="88">
        <x:f t="shared" si="180"/>
        <x:v>0.57049460943654384</x:v>
      </x:c>
      <x:c r="AP185" s="60">
        <x:f t="shared" si="181"/>
        <x:v>0.42950539056345616</x:v>
      </x:c>
      <x:c r="AQ185" s="50">
        <x:f t="shared" si="182"/>
        <x:v>290877385479.12946</x:v>
      </x:c>
      <x:c r="AR185" s="62">
        <x:f t="shared" si="183"/>
        <x:v>218991385702.45654</x:v>
      </x:c>
    </x:row>
    <x:row r="186">
      <x:c r="B186" s="44">
        <x:v>41</x:v>
      </x:c>
      <x:c r="C186" s="58">
        <x:f t="shared" si="184"/>
        <x:v>47269</x:v>
      </x:c>
      <x:c r="D186" s="88">
        <x:f t="shared" si="160"/>
        <x:v>1.4938610356339466E-6</x:v>
      </x:c>
      <x:c r="E186" s="60">
        <x:f t="shared" si="161"/>
        <x:v>0.99999850613896435</x:v>
      </x:c>
      <x:c r="F186" s="50">
        <x:f t="shared" si="162"/>
        <x:v>609858.75274689391</x:v>
      </x:c>
      <x:c r="G186" s="62">
        <x:f t="shared" si="163"/>
        <x:v>408242686003.16089</x:v>
      </x:c>
      <x:c r="J186" s="44">
        <x:f t="shared" si="185"/>
        <x:v>41</x:v>
      </x:c>
      <x:c r="K186" s="58">
        <x:f t="shared" si="186"/>
        <x:v>47269</x:v>
      </x:c>
      <x:c r="L186" s="88">
        <x:f t="shared" si="164"/>
        <x:v>2.397546259574051E-15</x:v>
      </x:c>
      <x:c r="M186" s="60">
        <x:f t="shared" si="165"/>
        <x:v>0.99999999999999756</x:v>
      </x:c>
      <x:c r="N186" s="50">
        <x:f t="shared" si="166"/>
        <x:v>2.5784291043711396E-6</x:v>
      </x:c>
      <x:c r="O186" s="62">
        <x:f t="shared" si="167"/>
        <x:v>1075444986.3374975</x:v>
      </x:c>
      <x:c r="R186" s="44">
        <x:v>41</x:v>
      </x:c>
      <x:c r="S186" s="58">
        <x:f t="shared" si="187"/>
        <x:v>47269</x:v>
      </x:c>
      <x:c r="T186" s="88">
        <x:f t="shared" si="168"/>
        <x:v>2.0827134803028704E-11</x:v>
      </x:c>
      <x:c r="U186" s="60">
        <x:f t="shared" si="169"/>
        <x:v>0.99999999997917288</x:v>
      </x:c>
      <x:c r="V186" s="50">
        <x:f t="shared" si="170"/>
        <x:v>3.0050683302677572E-3</x:v>
      </x:c>
      <x:c r="W186" s="62">
        <x:f t="shared" si="171"/>
        <x:v>144286209.24699494</x:v>
      </x:c>
      <x:c r="Y186" s="44">
        <x:v>41</x:v>
      </x:c>
      <x:c r="Z186" s="58">
        <x:f t="shared" si="188"/>
        <x:v>47269</x:v>
      </x:c>
      <x:c r="AA186" s="88">
        <x:f t="shared" si="172"/>
        <x:v>3.8348820800348557E-2</x:v>
      </x:c>
      <x:c r="AB186" s="60">
        <x:f t="shared" si="173"/>
        <x:v>0.96165117919965148</x:v>
      </x:c>
      <x:c r="AC186" s="50">
        <x:f t="shared" si="174"/>
        <x:v>8698919697.3029156</x:v>
      </x:c>
      <x:c r="AD186" s="62">
        <x:f t="shared" si="175"/>
        <x:v>218137773472.25211</x:v>
      </x:c>
      <x:c r="AF186" s="44">
        <x:v>41</x:v>
      </x:c>
      <x:c r="AG186" s="58">
        <x:f t="shared" si="189"/>
        <x:v>47269</x:v>
      </x:c>
      <x:c r="AH186" s="88">
        <x:f t="shared" si="176"/>
        <x:v>1.1779769400746664E-3</x:v>
      </x:c>
      <x:c r="AI186" s="60">
        <x:f t="shared" si="177"/>
        <x:v>0.99882202305992529</x:v>
      </x:c>
      <x:c r="AJ186" s="50">
        <x:f t="shared" si="178"/>
        <x:v>42193301.489684932</x:v>
      </x:c>
      <x:c r="AK186" s="62">
        <x:f t="shared" si="179"/>
        <x:v>35776251062.124512</x:v>
      </x:c>
      <x:c r="AM186" s="44">
        <x:v>41</x:v>
      </x:c>
      <x:c r="AN186" s="58">
        <x:f t="shared" si="190"/>
        <x:v>47269</x:v>
      </x:c>
      <x:c r="AO186" s="88">
        <x:f t="shared" si="180"/>
        <x:v>0.56254573163199106</x:v>
      </x:c>
      <x:c r="AP186" s="60">
        <x:f t="shared" si="181"/>
        <x:v>0.43745426836800894</x:v>
      </x:c>
      <x:c r="AQ186" s="50">
        <x:f t="shared" si="182"/>
        <x:v>286824500920.64954</x:v>
      </x:c>
      <x:c r="AR186" s="62">
        <x:f t="shared" si="183"/>
        <x:v>223044270260.93646</x:v>
      </x:c>
    </x:row>
    <x:row r="187">
      <x:c r="B187" s="44">
        <x:v>42</x:v>
      </x:c>
      <x:c r="C187" s="58">
        <x:f t="shared" si="184"/>
        <x:v>47299</x:v>
      </x:c>
      <x:c r="D187" s="88">
        <x:f t="shared" si="160"/>
        <x:v>1.0770111627234952E-6</x:v>
      </x:c>
      <x:c r="E187" s="60">
        <x:f t="shared" si="161"/>
        <x:v>0.9999989229888373</x:v>
      </x:c>
      <x:c r="F187" s="50">
        <x:f t="shared" si="162"/>
        <x:v>439682.58675031143</x:v>
      </x:c>
      <x:c r="G187" s="62">
        <x:f t="shared" si="163"/>
        <x:v>408242856179.3269</x:v>
      </x:c>
      <x:c r="J187" s="44">
        <x:f t="shared" si="185"/>
        <x:v>42</x:v>
      </x:c>
      <x:c r="K187" s="58">
        <x:f t="shared" si="186"/>
        <x:v>47299</x:v>
      </x:c>
      <x:c r="L187" s="88">
        <x:f t="shared" si="164"/>
        <x:v>1.054814148697463E-15</x:v>
      </x:c>
      <x:c r="M187" s="60">
        <x:f t="shared" si="165"/>
        <x:v>0.99999999999999889</x:v>
      </x:c>
      <x:c r="N187" s="50">
        <x:f t="shared" si="166"/>
        <x:v>1.1343945877345449E-6</x:v>
      </x:c>
      <x:c r="O187" s="62">
        <x:f t="shared" si="167"/>
        <x:v>1075444986.3374989</x:v>
      </x:c>
      <x:c r="R187" s="44">
        <x:v>42</x:v>
      </x:c>
      <x:c r="S187" s="58">
        <x:f t="shared" si="187"/>
        <x:v>47299</x:v>
      </x:c>
      <x:c r="T187" s="88">
        <x:f t="shared" si="168"/>
        <x:v>1.1431633618914073E-11</x:v>
      </x:c>
      <x:c r="U187" s="60">
        <x:f t="shared" si="169"/>
        <x:v>0.99999999998856837</x:v>
      </x:c>
      <x:c r="V187" s="50">
        <x:f t="shared" si="170"/>
        <x:v>1.6494270804079708E-3</x:v>
      </x:c>
      <x:c r="W187" s="62">
        <x:f t="shared" si="171"/>
        <x:v>144286209.24835056</x:v>
      </x:c>
      <x:c r="Y187" s="44">
        <x:v>42</x:v>
      </x:c>
      <x:c r="Z187" s="58">
        <x:f t="shared" si="188"/>
        <x:v>47299</x:v>
      </x:c>
      <x:c r="AA187" s="88">
        <x:f t="shared" si="172"/>
        <x:v>3.5416805010964808E-2</x:v>
      </x:c>
      <x:c r="AB187" s="60">
        <x:f t="shared" si="173"/>
        <x:v>0.96458319498903522</x:v>
      </x:c>
      <x:c r="AC187" s="50">
        <x:f t="shared" si="174"/>
        <x:v>8033830931.3181829</x:v>
      </x:c>
      <x:c r="AD187" s="62">
        <x:f t="shared" si="175"/>
        <x:v>218802862238.23685</x:v>
      </x:c>
      <x:c r="AF187" s="44">
        <x:v>42</x:v>
      </x:c>
      <x:c r="AG187" s="58">
        <x:f t="shared" si="189"/>
        <x:v>47299</x:v>
      </x:c>
      <x:c r="AH187" s="88">
        <x:f t="shared" si="176"/>
        <x:v>9.9931199585888528E-4</x:v>
      </x:c>
      <x:c r="AI187" s="60">
        <x:f t="shared" si="177"/>
        <x:v>0.9990006880041411</x:v>
      </x:c>
      <x:c r="AJ187" s="50">
        <x:f t="shared" si="178"/>
        <x:v>35793801.125563741</x:v>
      </x:c>
      <x:c r="AK187" s="62">
        <x:f t="shared" si="179"/>
        <x:v>35782650562.488632</x:v>
      </x:c>
      <x:c r="AM187" s="44">
        <x:v>42</x:v>
      </x:c>
      <x:c r="AN187" s="58">
        <x:f t="shared" si="190"/>
        <x:v>47299</x:v>
      </x:c>
      <x:c r="AO187" s="88">
        <x:f t="shared" si="180"/>
        <x:v>0.55470760799988184</x:v>
      </x:c>
      <x:c r="AP187" s="60">
        <x:f t="shared" si="181"/>
        <x:v>0.44529239200011816</x:v>
      </x:c>
      <x:c r="AQ187" s="50">
        <x:f t="shared" si="182"/>
        <x:v>282828086455.97668</x:v>
      </x:c>
      <x:c r="AR187" s="62">
        <x:f t="shared" si="183"/>
        <x:v>227040684725.60931</x:v>
      </x:c>
    </x:row>
    <x:row r="188">
      <x:c r="B188" s="44">
        <x:v>43</x:v>
      </x:c>
      <x:c r="C188" s="58">
        <x:f t="shared" si="184"/>
        <x:v>47330</x:v>
      </x:c>
      <x:c r="D188" s="88">
        <x:f t="shared" si="160"/>
        <x:v>7.7647988464922257E-7</x:v>
      </x:c>
      <x:c r="E188" s="60">
        <x:f t="shared" si="161"/>
        <x:v>0.99999922352011539</x:v>
      </x:c>
      <x:c r="F188" s="50">
        <x:f t="shared" si="162"/>
        <x:v>316992.70727967715</x:v>
      </x:c>
      <x:c r="G188" s="62">
        <x:f t="shared" si="163"/>
        <x:v>408242978869.20636</x:v>
      </x:c>
      <x:c r="J188" s="44">
        <x:f t="shared" si="185"/>
        <x:v>43</x:v>
      </x:c>
      <x:c r="K188" s="58">
        <x:f t="shared" si="186"/>
        <x:v>47330</x:v>
      </x:c>
      <x:c r="L188" s="88">
        <x:f t="shared" si="164"/>
        <x:v>4.6407149970487598E-16</x:v>
      </x:c>
      <x:c r="M188" s="60">
        <x:f t="shared" si="165"/>
        <x:v>0.99999999999999956</x:v>
      </x:c>
      <x:c r="N188" s="50">
        <x:f t="shared" si="166"/>
        <x:v>4.9908336765973356E-7</x:v>
      </x:c>
      <x:c r="O188" s="62">
        <x:f t="shared" si="167"/>
        <x:v>1075444986.3374996</x:v>
      </x:c>
      <x:c r="R188" s="44">
        <x:v>43</x:v>
      </x:c>
      <x:c r="S188" s="58">
        <x:f t="shared" si="187"/>
        <x:v>47330</x:v>
      </x:c>
      <x:c r="T188" s="88">
        <x:f t="shared" si="168"/>
        <x:v>6.2746147481641586E-12</x:v>
      </x:c>
      <x:c r="U188" s="60">
        <x:f t="shared" si="169"/>
        <x:v>0.99999999999372535</x:v>
      </x:c>
      <x:c r="V188" s="50">
        <x:f t="shared" si="170"/>
        <x:v>9.0534037651674988E-4</x:v>
      </x:c>
      <x:c r="W188" s="62">
        <x:f t="shared" si="171"/>
        <x:v>144286209.24909467</x:v>
      </x:c>
      <x:c r="Y188" s="44">
        <x:v>43</x:v>
      </x:c>
      <x:c r="Z188" s="58">
        <x:f t="shared" si="188"/>
        <x:v>47330</x:v>
      </x:c>
      <x:c r="AA188" s="88">
        <x:f t="shared" si="172"/>
        <x:v>3.2708960823465555E-2</x:v>
      </x:c>
      <x:c r="AB188" s="60">
        <x:f t="shared" si="173"/>
        <x:v>0.96729103917653447</x:v>
      </x:c>
      <x:c r="AC188" s="50">
        <x:f t="shared" si="174"/>
        <x:v>7419592510.2074518</x:v>
      </x:c>
      <x:c r="AD188" s="62">
        <x:f t="shared" si="175"/>
        <x:v>219417100659.34756</x:v>
      </x:c>
      <x:c r="AF188" s="44">
        <x:v>43</x:v>
      </x:c>
      <x:c r="AG188" s="58">
        <x:f t="shared" si="189"/>
        <x:v>47330</x:v>
      </x:c>
      <x:c r="AH188" s="88">
        <x:f t="shared" si="176"/>
        <x:v>8.4774534296415903E-4</x:v>
      </x:c>
      <x:c r="AI188" s="60">
        <x:f t="shared" si="177"/>
        <x:v>0.99915225465703583</x:v>
      </x:c>
      <x:c r="AJ188" s="50">
        <x:f t="shared" si="178"/>
        <x:v>30364919.401474766</x:v>
      </x:c>
      <x:c r="AK188" s="62">
        <x:f t="shared" si="179"/>
        <x:v>35788079444.212723</x:v>
      </x:c>
      <x:c r="AM188" s="44">
        <x:v>43</x:v>
      </x:c>
      <x:c r="AN188" s="58">
        <x:f t="shared" si="190"/>
        <x:v>47330</x:v>
      </x:c>
      <x:c r="AO188" s="88">
        <x:f t="shared" si="180"/>
        <x:v>0.54697869536808374</x:v>
      </x:c>
      <x:c r="AP188" s="60">
        <x:f t="shared" si="181"/>
        <x:v>0.45302130463191626</x:v>
      </x:c>
      <x:c r="AQ188" s="50">
        <x:f t="shared" si="182"/>
        <x:v>278887355269.83191</x:v>
      </x:c>
      <x:c r="AR188" s="62">
        <x:f t="shared" si="183"/>
        <x:v>230981415911.75409</x:v>
      </x:c>
    </x:row>
    <x:row r="189">
      <x:c r="B189" s="44">
        <x:v>44</x:v>
      </x:c>
      <x:c r="C189" s="58">
        <x:f t="shared" si="184"/>
        <x:v>47361</x:v>
      </x:c>
      <x:c r="D189" s="88">
        <x:f t="shared" si="160"/>
        <x:v>5.5980943571674006E-7</x:v>
      </x:c>
      <x:c r="E189" s="60">
        <x:f t="shared" si="161"/>
        <x:v>0.9999994401905643</x:v>
      </x:c>
      <x:c r="F189" s="50">
        <x:f t="shared" si="162"/>
        <x:v>228538.44909160002</x:v>
      </x:c>
      <x:c r="G189" s="62">
        <x:f t="shared" si="163"/>
        <x:v>408243067323.46454</x:v>
      </x:c>
      <x:c r="J189" s="44">
        <x:f t="shared" si="185"/>
        <x:v>44</x:v>
      </x:c>
      <x:c r="K189" s="58">
        <x:f t="shared" si="186"/>
        <x:v>47361</x:v>
      </x:c>
      <x:c r="L189" s="88">
        <x:f t="shared" si="164"/>
        <x:v>2.0417090262229881E-16</x:v>
      </x:c>
      <x:c r="M189" s="60">
        <x:f t="shared" si="165"/>
        <x:v>0.99999999999999978</x:v>
      </x:c>
      <x:c r="N189" s="50">
        <x:f t="shared" si="166"/>
        <x:v>2.1957457358115321E-7</x:v>
      </x:c>
      <x:c r="O189" s="62">
        <x:f t="shared" si="167"/>
        <x:v>1075444986.3374999</x:v>
      </x:c>
      <x:c r="R189" s="44">
        <x:v>44</x:v>
      </x:c>
      <x:c r="S189" s="58">
        <x:f t="shared" si="187"/>
        <x:v>47361</x:v>
      </x:c>
      <x:c r="T189" s="88">
        <x:f t="shared" si="168"/>
        <x:v>3.4440213490343758E-12</x:v>
      </x:c>
      <x:c r="U189" s="60">
        <x:f t="shared" si="169"/>
        <x:v>0.99999999999655598</x:v>
      </x:c>
      <x:c r="V189" s="50">
        <x:f t="shared" si="170"/>
        <x:v>4.9692478502824124E-4</x:v>
      </x:c>
      <x:c r="W189" s="62">
        <x:f t="shared" si="171"/>
        <x:v>144286209.24950308</x:v>
      </x:c>
      <x:c r="Y189" s="44">
        <x:v>44</x:v>
      </x:c>
      <x:c r="Z189" s="58">
        <x:f t="shared" si="188"/>
        <x:v>47361</x:v>
      </x:c>
      <x:c r="AA189" s="88">
        <x:f t="shared" si="172"/>
        <x:v>3.0208148866612272E-2</x:v>
      </x:c>
      <x:c r="AB189" s="60">
        <x:f t="shared" si="173"/>
        <x:v>0.96979185113338773</x:v>
      </x:c>
      <x:c r="AC189" s="50">
        <x:f t="shared" si="174"/>
        <x:v>6852316595.6759691</x:v>
      </x:c>
      <x:c r="AD189" s="62">
        <x:f t="shared" si="175"/>
        <x:v>219984376573.87906</x:v>
      </x:c>
      <x:c r="AF189" s="44">
        <x:v>44</x:v>
      </x:c>
      <x:c r="AG189" s="58">
        <x:f t="shared" si="189"/>
        <x:v>47361</x:v>
      </x:c>
      <x:c r="AH189" s="88">
        <x:f t="shared" si="176"/>
        <x:v>7.1916695636154934E-4</x:v>
      </x:c>
      <x:c r="AI189" s="60">
        <x:f t="shared" si="177"/>
        <x:v>0.99928083304363846</x:v>
      </x:c>
      <x:c r="AJ189" s="50">
        <x:f t="shared" si="178"/>
        <x:v>25759441.614585914</x:v>
      </x:c>
      <x:c r="AK189" s="62">
        <x:f t="shared" si="179"/>
        <x:v>35792684921.999611</x:v>
      </x:c>
      <x:c r="AM189" s="44">
        <x:v>44</x:v>
      </x:c>
      <x:c r="AN189" s="58">
        <x:f t="shared" si="190"/>
        <x:v>47361</x:v>
      </x:c>
      <x:c r="AO189" s="88">
        <x:f t="shared" si="180"/>
        <x:v>0.53935747206595852</x:v>
      </x:c>
      <x:c r="AP189" s="60">
        <x:f t="shared" si="181"/>
        <x:v>0.46064252793404148</x:v>
      </x:c>
      <x:c r="AQ189" s="50">
        <x:f t="shared" si="182"/>
        <x:v>275001531509.87689</x:v>
      </x:c>
      <x:c r="AR189" s="62">
        <x:f t="shared" si="183"/>
        <x:v>234867239671.70911</x:v>
      </x:c>
    </x:row>
    <x:row r="190">
      <x:c r="B190" s="44">
        <x:v>45</x:v>
      </x:c>
      <x:c r="C190" s="58">
        <x:f t="shared" si="184"/>
        <x:v>47391</x:v>
      </x:c>
      <x:c r="D190" s="88">
        <x:f t="shared" si="160"/>
        <x:v>4.0359912795302917E-7</x:v>
      </x:c>
      <x:c r="E190" s="60">
        <x:f t="shared" si="161"/>
        <x:v>0.99999959640087199</x:v>
      </x:c>
      <x:c r="F190" s="50">
        <x:f t="shared" si="162"/>
        <x:v>164766.63820253883</x:v>
      </x:c>
      <x:c r="G190" s="62">
        <x:f t="shared" si="163"/>
        <x:v>408243131095.27545</x:v>
      </x:c>
      <x:c r="J190" s="44">
        <x:f t="shared" si="185"/>
        <x:v>45</x:v>
      </x:c>
      <x:c r="K190" s="58">
        <x:f t="shared" si="186"/>
        <x:v>47391</x:v>
      </x:c>
      <x:c r="L190" s="88">
        <x:f t="shared" si="164"/>
        <x:v>8.9826152875396077E-17</x:v>
      </x:c>
      <x:c r="M190" s="60">
        <x:f t="shared" si="165"/>
        <x:v>0.99999999999999989</x:v>
      </x:c>
      <x:c r="N190" s="50">
        <x:f t="shared" si="166"/>
        <x:v>9.6603085751830532E-8</x:v>
      </x:c>
      <x:c r="O190" s="62">
        <x:f t="shared" si="167"/>
        <x:v>1075444986.3375001</x:v>
      </x:c>
      <x:c r="R190" s="44">
        <x:v>45</x:v>
      </x:c>
      <x:c r="S190" s="58">
        <x:f t="shared" si="187"/>
        <x:v>47391</x:v>
      </x:c>
      <x:c r="T190" s="88">
        <x:f t="shared" si="168"/>
        <x:v>1.8903603693079265E-12</x:v>
      </x:c>
      <x:c r="U190" s="60">
        <x:f t="shared" si="169"/>
        <x:v>0.99999999999810962</x:v>
      </x:c>
      <x:c r="V190" s="50">
        <x:f t="shared" si="170"/>
        <x:v>2.7275293180387074E-4</x:v>
      </x:c>
      <x:c r="W190" s="62">
        <x:f t="shared" si="171"/>
        <x:v>144286209.24972725</x:v>
      </x:c>
      <x:c r="Y190" s="44">
        <x:v>45</x:v>
      </x:c>
      <x:c r="Z190" s="58">
        <x:f t="shared" si="188"/>
        <x:v>47391</x:v>
      </x:c>
      <x:c r="AA190" s="88">
        <x:f t="shared" si="172"/>
        <x:v>2.7898540185133415E-2</x:v>
      </x:c>
      <x:c r="AB190" s="60">
        <x:f t="shared" si="173"/>
        <x:v>0.97210145981486662</x:v>
      </x:c>
      <x:c r="AC190" s="50">
        <x:f t="shared" si="174"/>
        <x:v>6328412599.8536091</x:v>
      </x:c>
      <x:c r="AD190" s="62">
        <x:f t="shared" si="175"/>
        <x:v>220508280569.70142</x:v>
      </x:c>
      <x:c r="AF190" s="44">
        <x:v>45</x:v>
      </x:c>
      <x:c r="AG190" s="58">
        <x:f t="shared" si="189"/>
        <x:v>47391</x:v>
      </x:c>
      <x:c r="AH190" s="88">
        <x:f t="shared" si="176"/>
        <x:v>6.1009018264132273E-4</x:v>
      </x:c>
      <x:c r="AI190" s="60">
        <x:f t="shared" si="177"/>
        <x:v>0.99938990981735865</x:v>
      </x:c>
      <x:c r="AJ190" s="50">
        <x:f t="shared" si="178"/>
        <x:v>21852481.263725441</x:v>
      </x:c>
      <x:c r="AK190" s="62">
        <x:f t="shared" si="179"/>
        <x:v>35796591882.350471</x:v>
      </x:c>
      <x:c r="AM190" s="44">
        <x:v>45</x:v>
      </x:c>
      <x:c r="AN190" s="58">
        <x:f t="shared" si="190"/>
        <x:v>47391</x:v>
      </x:c>
      <x:c r="AO190" s="88">
        <x:f t="shared" si="180"/>
        <x:v>0.53184243762477568</x:v>
      </x:c>
      <x:c r="AP190" s="60">
        <x:f t="shared" si="181"/>
        <x:v>0.46815756237522432</x:v>
      </x:c>
      <x:c r="AQ190" s="50">
        <x:f t="shared" si="182"/>
        <x:v>271169850133.96368</x:v>
      </x:c>
      <x:c r="AR190" s="62">
        <x:f t="shared" si="183"/>
        <x:v>238698921047.62231</x:v>
      </x:c>
    </x:row>
    <x:row r="191">
      <x:c r="B191" s="44">
        <x:v>46</x:v>
      </x:c>
      <x:c r="C191" s="58">
        <x:f t="shared" si="184"/>
        <x:v>47422</x:v>
      </x:c>
      <x:c r="D191" s="88">
        <x:f t="shared" si="160"/>
        <x:v>2.9097804662025749E-7</x:v>
      </x:c>
      <x:c r="E191" s="60">
        <x:f t="shared" si="161"/>
        <x:v>0.99999970902195334</x:v>
      </x:c>
      <x:c r="F191" s="50">
        <x:f t="shared" si="162"/>
        <x:v>118789.83677571548</x:v>
      </x:c>
      <x:c r="G191" s="62">
        <x:f t="shared" si="163"/>
        <x:v>408243177072.07684</x:v>
      </x:c>
      <x:c r="J191" s="44">
        <x:f t="shared" si="185"/>
        <x:v>46</x:v>
      </x:c>
      <x:c r="K191" s="58">
        <x:f t="shared" si="186"/>
        <x:v>47422</x:v>
      </x:c>
      <x:c r="L191" s="88">
        <x:f t="shared" si="164"/>
        <x:v>3.9519528183310932E-17</x:v>
      </x:c>
      <x:c r="M191" s="60">
        <x:f t="shared" si="165"/>
        <x:v>1</x:v>
      </x:c>
      <x:c r="N191" s="50">
        <x:f t="shared" si="166"/>
        <x:v>4.2501078447165272E-8</x:v>
      </x:c>
      <x:c r="O191" s="62">
        <x:f t="shared" si="167"/>
        <x:v>1075444986.3375001</x:v>
      </x:c>
      <x:c r="R191" s="44">
        <x:v>46</x:v>
      </x:c>
      <x:c r="S191" s="58">
        <x:f t="shared" si="187"/>
        <x:v>47422</x:v>
      </x:c>
      <x:c r="T191" s="88">
        <x:f t="shared" si="168"/>
        <x:v>1.0375842550604157E-12</x:v>
      </x:c>
      <x:c r="U191" s="60">
        <x:f t="shared" si="169"/>
        <x:v>0.99999999999896239</x:v>
      </x:c>
      <x:c r="V191" s="50">
        <x:f t="shared" si="170"/>
        <x:v>1.497090989401525E-4</x:v>
      </x:c>
      <x:c r="W191" s="62">
        <x:f t="shared" si="171"/>
        <x:v>144286209.2498503</x:v>
      </x:c>
      <x:c r="Y191" s="44">
        <x:v>46</x:v>
      </x:c>
      <x:c r="Z191" s="58">
        <x:f t="shared" si="188"/>
        <x:v>47422</x:v>
      </x:c>
      <x:c r="AA191" s="88">
        <x:f t="shared" si="172"/>
        <x:v>2.576551604993433E-2</x:v>
      </x:c>
      <x:c r="AB191" s="60">
        <x:f t="shared" si="173"/>
        <x:v>0.97423448395006562</x:v>
      </x:c>
      <x:c r="AC191" s="50">
        <x:f t="shared" si="174"/>
        <x:v>5844564458.5741987</x:v>
      </x:c>
      <x:c r="AD191" s="62">
        <x:f t="shared" si="175"/>
        <x:v>220992128710.98083</x:v>
      </x:c>
      <x:c r="AF191" s="44">
        <x:v>46</x:v>
      </x:c>
      <x:c r="AG191" s="58">
        <x:f t="shared" si="189"/>
        <x:v>47422</x:v>
      </x:c>
      <x:c r="AH191" s="88">
        <x:f t="shared" si="176"/>
        <x:v>5.175571926141168E-4</x:v>
      </x:c>
      <x:c r="AI191" s="60">
        <x:f t="shared" si="177"/>
        <x:v>0.99948244280738585</x:v>
      </x:c>
      <x:c r="AJ191" s="50">
        <x:f t="shared" si="178"/>
        <x:v>18538093.5086371</x:v>
      </x:c>
      <x:c r="AK191" s="62">
        <x:f t="shared" si="179"/>
        <x:v>35799906270.10556</x:v>
      </x:c>
      <x:c r="AM191" s="44">
        <x:v>46</x:v>
      </x:c>
      <x:c r="AN191" s="58">
        <x:f t="shared" si="190"/>
        <x:v>47422</x:v>
      </x:c>
      <x:c r="AO191" s="88">
        <x:f t="shared" si="180"/>
        <x:v>0.52443211248229926</x:v>
      </x:c>
      <x:c r="AP191" s="60">
        <x:f t="shared" si="181"/>
        <x:v>0.47556788751770074</x:v>
      </x:c>
      <x:c r="AQ191" s="50">
        <x:f t="shared" si="182"/>
        <x:v>267391556759.51321</x:v>
      </x:c>
      <x:c r="AR191" s="62">
        <x:f t="shared" si="183"/>
        <x:v>242477214422.07278</x:v>
      </x:c>
    </x:row>
    <x:row r="192">
      <x:c r="B192" s="44">
        <x:v>47</x:v>
      </x:c>
      <x:c r="C192" s="58">
        <x:f t="shared" si="184"/>
        <x:v>47452</x:v>
      </x:c>
      <x:c r="D192" s="88">
        <x:f t="shared" si="160"/>
        <x:v>2.0978296966190279E-7</x:v>
      </x:c>
      <x:c r="E192" s="60">
        <x:f t="shared" si="161"/>
        <x:v>0.99999979021703034</x:v>
      </x:c>
      <x:c r="F192" s="50">
        <x:f t="shared" si="162"/>
        <x:v>85642.490950475039</x:v>
      </x:c>
      <x:c r="G192" s="62">
        <x:f t="shared" si="163"/>
        <x:v>408243210219.42267</x:v>
      </x:c>
      <x:c r="J192" s="44">
        <x:f t="shared" si="185"/>
        <x:v>47</x:v>
      </x:c>
      <x:c r="K192" s="58">
        <x:f t="shared" si="186"/>
        <x:v>47452</x:v>
      </x:c>
      <x:c r="L192" s="88">
        <x:f t="shared" si="164"/>
        <x:v>1.7386841780900788E-17</x:v>
      </x:c>
      <x:c r="M192" s="60">
        <x:f t="shared" si="165"/>
        <x:v>1</x:v>
      </x:c>
      <x:c r="N192" s="50">
        <x:f t="shared" si="166"/>
        <x:v>1.8698591821513125E-8</x:v>
      </x:c>
      <x:c r="O192" s="62">
        <x:f t="shared" si="167"/>
        <x:v>1075444986.3375001</x:v>
      </x:c>
      <x:c r="R192" s="44">
        <x:v>47</x:v>
      </x:c>
      <x:c r="S192" s="58">
        <x:f t="shared" si="187"/>
        <x:v>47452</x:v>
      </x:c>
      <x:c r="T192" s="88">
        <x:f t="shared" si="168"/>
        <x:v>5.6951103283202084E-13</x:v>
      </x:c>
      <x:c r="U192" s="60">
        <x:f t="shared" si="169"/>
        <x:v>0.99999999999943046</x:v>
      </x:c>
      <x:c r="V192" s="50">
        <x:f t="shared" si="170"/>
        <x:v>8.2172588053384577E-5</x:v>
      </x:c>
      <x:c r="W192" s="62">
        <x:f t="shared" si="171"/>
        <x:v>144286209.24991783</x:v>
      </x:c>
      <x:c r="Y192" s="44">
        <x:v>47</x:v>
      </x:c>
      <x:c r="Z192" s="58">
        <x:f t="shared" si="188"/>
        <x:v>47452</x:v>
      </x:c>
      <x:c r="AA192" s="88">
        <x:f t="shared" si="172"/>
        <x:v>2.3795575428465696E-2</x:v>
      </x:c>
      <x:c r="AB192" s="60">
        <x:f t="shared" si="173"/>
        <x:v>0.97620442457153433</x:v>
      </x:c>
      <x:c r="AC192" s="50">
        <x:f t="shared" si="174"/>
        <x:v>5397709642.2598763</x:v>
      </x:c>
      <x:c r="AD192" s="62">
        <x:f t="shared" si="175"/>
        <x:v>221438983527.29514</x:v>
      </x:c>
      <x:c r="AF192" s="44">
        <x:v>47</x:v>
      </x:c>
      <x:c r="AG192" s="58">
        <x:f t="shared" si="189"/>
        <x:v>47452</x:v>
      </x:c>
      <x:c r="AH192" s="88">
        <x:f t="shared" si="176"/>
        <x:v>4.390587740109341E-4</x:v>
      </x:c>
      <x:c r="AI192" s="60">
        <x:f t="shared" si="177"/>
        <x:v>0.99956094122598904</x:v>
      </x:c>
      <x:c r="AJ192" s="50">
        <x:f t="shared" si="178"/>
        <x:v>15726402.269267302</x:v>
      </x:c>
      <x:c r="AK192" s="62">
        <x:f t="shared" si="179"/>
        <x:v>35802717961.344933</x:v>
      </x:c>
      <x:c r="AM192" s="44">
        <x:v>47</x:v>
      </x:c>
      <x:c r="AN192" s="58">
        <x:f t="shared" si="190"/>
        <x:v>47452</x:v>
      </x:c>
      <x:c r="AO192" s="88">
        <x:f t="shared" si="180"/>
        <x:v>0.51712503769149187</x:v>
      </x:c>
      <x:c r="AP192" s="60">
        <x:f t="shared" si="181"/>
        <x:v>0.48287496230850813</x:v>
      </x:c>
      <x:c r="AQ192" s="50">
        <x:f t="shared" si="182"/>
        <x:v>263665907514.99231</x:v>
      </x:c>
      <x:c r="AR192" s="62">
        <x:f t="shared" si="183"/>
        <x:v>246202863666.59369</x:v>
      </x:c>
    </x:row>
    <x:row r="193">
      <x:c r="B193" s="44">
        <x:v>48</x:v>
      </x:c>
      <x:c r="C193" s="58">
        <x:f t="shared" si="184"/>
        <x:v>47483</x:v>
      </x:c>
      <x:c r="D193" s="88">
        <x:f t="shared" si="160"/>
        <x:v>1.5124472403102243E-7</x:v>
      </x:c>
      <x:c r="E193" s="60">
        <x:f t="shared" si="161"/>
        <x:v>0.99999984875527592</x:v>
      </x:c>
      <x:c r="F193" s="50">
        <x:f t="shared" si="162"/>
        <x:v>61744.644620150168</x:v>
      </x:c>
      <x:c r="G193" s="62">
        <x:f t="shared" si="163"/>
        <x:v>408243234117.26904</x:v>
      </x:c>
      <x:c r="J193" s="44">
        <x:f t="shared" si="185"/>
        <x:v>48</x:v>
      </x:c>
      <x:c r="K193" s="58">
        <x:f t="shared" si="186"/>
        <x:v>47483</x:v>
      </x:c>
      <x:c r="L193" s="88">
        <x:f t="shared" si="164"/>
        <x:v>7.6494401884518761E-18</x:v>
      </x:c>
      <x:c r="M193" s="60">
        <x:f t="shared" si="165"/>
        <x:v>1</x:v>
      </x:c>
      <x:c r="N193" s="50">
        <x:f t="shared" si="166"/>
        <x:v>8.2265520989591513E-9</x:v>
      </x:c>
      <x:c r="O193" s="62">
        <x:f t="shared" si="167"/>
        <x:v>1075444986.3375001</x:v>
      </x:c>
      <x:c r="R193" s="44">
        <x:v>48</x:v>
      </x:c>
      <x:c r="S193" s="58">
        <x:f t="shared" si="187"/>
        <x:v>47483</x:v>
      </x:c>
      <x:c r="T193" s="88">
        <x:f t="shared" si="168"/>
        <x:v>3.1259419650552465E-13</x:v>
      </x:c>
      <x:c r="U193" s="60">
        <x:f t="shared" si="169"/>
        <x:v>0.99999999999968736</x:v>
      </x:c>
      <x:c r="V193" s="50">
        <x:f t="shared" si="170"/>
        <x:v>4.5103031647331746E-5</x:v>
      </x:c>
      <x:c r="W193" s="62">
        <x:f t="shared" si="171"/>
        <x:v>144286209.24995491</x:v>
      </x:c>
      <x:c r="Y193" s="44">
        <x:v>48</x:v>
      </x:c>
      <x:c r="Z193" s="58">
        <x:f t="shared" si="188"/>
        <x:v>47483</x:v>
      </x:c>
      <x:c r="AA193" s="88">
        <x:f t="shared" si="172"/>
        <x:v>2.1976249529581753E-2</x:v>
      </x:c>
      <x:c r="AB193" s="60">
        <x:f t="shared" si="173"/>
        <x:v>0.97802375047041823</x:v>
      </x:c>
      <x:c r="AC193" s="50">
        <x:f t="shared" si="174"/>
        <x:v>4985019771.5593138</x:v>
      </x:c>
      <x:c r="AD193" s="62">
        <x:f t="shared" si="175"/>
        <x:v>221851673397.9957</x:v>
      </x:c>
      <x:c r="AF193" s="44">
        <x:v>48</x:v>
      </x:c>
      <x:c r="AG193" s="58">
        <x:f t="shared" si="189"/>
        <x:v>47483</x:v>
      </x:c>
      <x:c r="AH193" s="88">
        <x:f t="shared" si="176"/>
        <x:v>3.7246628930478955E-4</x:v>
      </x:c>
      <x:c r="AI193" s="60">
        <x:f t="shared" si="177"/>
        <x:v>0.99962753371069524</x:v>
      </x:c>
      <x:c r="AJ193" s="50">
        <x:f t="shared" si="178"/>
        <x:v>13341163.060785433</x:v>
      </x:c>
      <x:c r="AK193" s="62">
        <x:f t="shared" si="179"/>
        <x:v>35805103200.553413</x:v>
      </x:c>
      <x:c r="AM193" s="44">
        <x:v>48</x:v>
      </x:c>
      <x:c r="AN193" s="58">
        <x:f t="shared" si="190"/>
        <x:v>47483</x:v>
      </x:c>
      <x:c r="AO193" s="88">
        <x:f t="shared" si="180"/>
        <x:v>0.50991977463327598</x:v>
      </x:c>
      <x:c r="AP193" s="60">
        <x:f t="shared" si="181"/>
        <x:v>0.49008022536672402</x:v>
      </x:c>
      <x:c r="AQ193" s="50">
        <x:f t="shared" si="182"/>
        <x:v>259992168893.45969</x:v>
      </x:c>
      <x:c r="AR193" s="62">
        <x:f t="shared" si="183"/>
        <x:v>249876602288.12631</x:v>
      </x:c>
    </x:row>
    <x:row r="194">
      <x:c r="B194" s="44">
        <x:v>49</x:v>
      </x:c>
      <x:c r="C194" s="58">
        <x:f t="shared" si="184"/>
        <x:v>47514</x:v>
      </x:c>
      <x:c r="D194" s="88">
        <x:f t="shared" si="160"/>
        <x:v>1.0904110368962089E-7</x:v>
      </x:c>
      <x:c r="E194" s="60">
        <x:f t="shared" si="161"/>
        <x:v>0.9999998909588963</x:v>
      </x:c>
      <x:c r="F194" s="50">
        <x:f t="shared" si="162"/>
        <x:v>44515.299554671503</x:v>
      </x:c>
      <x:c r="G194" s="62">
        <x:f t="shared" si="163"/>
        <x:v>408243251346.61407</x:v>
      </x:c>
      <x:c r="J194" s="44">
        <x:f t="shared" si="185"/>
        <x:v>49</x:v>
      </x:c>
      <x:c r="K194" s="58">
        <x:f t="shared" si="186"/>
        <x:v>47514</x:v>
      </x:c>
      <x:c r="L194" s="88">
        <x:f t="shared" si="164"/>
        <x:v>3.3654148311730445E-18</x:v>
      </x:c>
      <x:c r="M194" s="60">
        <x:f t="shared" si="165"/>
        <x:v>1</x:v>
      </x:c>
      <x:c r="N194" s="50">
        <x:f t="shared" si="166"/>
        <x:v>3.619318507130915E-9</x:v>
      </x:c>
      <x:c r="O194" s="62">
        <x:f t="shared" si="167"/>
        <x:v>1075444986.3375001</x:v>
      </x:c>
      <x:c r="R194" s="44">
        <x:v>49</x:v>
      </x:c>
      <x:c r="S194" s="58">
        <x:f t="shared" si="187"/>
        <x:v>47514</x:v>
      </x:c>
      <x:c r="T194" s="88">
        <x:f t="shared" si="168"/>
        <x:v>1.7157724092371765E-13</x:v>
      </x:c>
      <x:c r="U194" s="60">
        <x:f t="shared" si="169"/>
        <x:v>0.99999999999982847</x:v>
      </x:c>
      <x:c r="V194" s="50">
        <x:f t="shared" si="170"/>
        <x:v>2.4756229686457189E-5</x:v>
      </x:c>
      <x:c r="W194" s="62">
        <x:f t="shared" si="171"/>
        <x:v>144286209.24997523</x:v>
      </x:c>
      <x:c r="Y194" s="44">
        <x:v>49</x:v>
      </x:c>
      <x:c r="Z194" s="58">
        <x:f t="shared" si="188"/>
        <x:v>47514</x:v>
      </x:c>
      <x:c r="AA194" s="88">
        <x:f t="shared" si="172"/>
        <x:v>2.0296022881997708E-2</x:v>
      </x:c>
      <x:c r="AB194" s="60">
        <x:f t="shared" si="173"/>
        <x:v>0.97970397711800228</x:v>
      </x:c>
      <x:c r="AC194" s="50">
        <x:f t="shared" si="174"/>
        <x:v>4603882715.0459824</x:v>
      </x:c>
      <x:c r="AD194" s="62">
        <x:f t="shared" si="175"/>
        <x:v>222232810454.50903</x:v>
      </x:c>
      <x:c r="AF194" s="44">
        <x:v>49</x:v>
      </x:c>
      <x:c r="AG194" s="58">
        <x:f t="shared" si="189"/>
        <x:v>47514</x:v>
      </x:c>
      <x:c r="AH194" s="88">
        <x:f t="shared" si="176"/>
        <x:v>3.1597395355780866E-4</x:v>
      </x:c>
      <x:c r="AI194" s="60">
        <x:f t="shared" si="177"/>
        <x:v>0.99968402604644224</x:v>
      </x:c>
      <x:c r="AJ194" s="50">
        <x:f t="shared" si="178"/>
        <x:v>11317695.475861585</x:v>
      </x:c>
      <x:c r="AK194" s="62">
        <x:f t="shared" si="179"/>
        <x:v>35807126668.138336</x:v>
      </x:c>
      <x:c r="AM194" s="44">
        <x:v>49</x:v>
      </x:c>
      <x:c r="AN194" s="58">
        <x:f t="shared" si="190"/>
        <x:v>47514</x:v>
      </x:c>
      <x:c r="AO194" s="88">
        <x:f t="shared" si="180"/>
        <x:v>0.50281490473329871</x:v>
      </x:c>
      <x:c r="AP194" s="60">
        <x:f t="shared" si="181"/>
        <x:v>0.49718509526670129</x:v>
      </x:c>
      <x:c r="AQ194" s="50">
        <x:f t="shared" si="182"/>
        <x:v>256369617608.15323</x:v>
      </x:c>
      <x:c r="AR194" s="62">
        <x:f t="shared" si="183"/>
        <x:v>253499153573.43277</x:v>
      </x:c>
    </x:row>
    <x:row r="195">
      <x:c r="B195" s="44">
        <x:v>50</x:v>
      </x:c>
      <x:c r="C195" s="58">
        <x:f t="shared" si="184"/>
        <x:v>47542</x:v>
      </x:c>
      <x:c r="D195" s="88">
        <x:f t="shared" si="160"/>
        <x:v>7.8614063201383839E-8</x:v>
      </x:c>
      <x:c r="E195" s="60">
        <x:f t="shared" si="161"/>
        <x:v>0.99999992138593685</x:v>
      </x:c>
      <x:c r="F195" s="50">
        <x:f t="shared" si="162"/>
        <x:v>32093.66426242972</x:v>
      </x:c>
      <x:c r="G195" s="62">
        <x:f t="shared" si="163"/>
        <x:v>408243263768.24939</x:v>
      </x:c>
      <x:c r="J195" s="44">
        <x:f t="shared" si="185"/>
        <x:v>50</x:v>
      </x:c>
      <x:c r="K195" s="58">
        <x:f t="shared" si="186"/>
        <x:v>47542</x:v>
      </x:c>
      <x:c r="L195" s="88">
        <x:f t="shared" si="164"/>
        <x:v>1.4806334459583215E-18</x:v>
      </x:c>
      <x:c r="M195" s="60">
        <x:f t="shared" si="165"/>
        <x:v>1</x:v>
      </x:c>
      <x:c r="N195" s="50">
        <x:f t="shared" si="166"/>
        <x:v>1.5923398160594926E-9</x:v>
      </x:c>
      <x:c r="O195" s="62">
        <x:f t="shared" si="167"/>
        <x:v>1075444986.3375001</x:v>
      </x:c>
      <x:c r="R195" s="44">
        <x:v>50</x:v>
      </x:c>
      <x:c r="S195" s="58">
        <x:f t="shared" si="187"/>
        <x:v>47542</x:v>
      </x:c>
      <x:c r="T195" s="88">
        <x:f t="shared" si="168"/>
        <x:v>9.4175611486360917E-14</x:v>
      </x:c>
      <x:c r="U195" s="60">
        <x:f t="shared" si="169"/>
        <x:v>0.99999999999990585</x:v>
      </x:c>
      <x:c r="V195" s="50">
        <x:f t="shared" si="170"/>
        <x:v>1.3588241985167775E-5</x:v>
      </x:c>
      <x:c r="W195" s="62">
        <x:f t="shared" si="171"/>
        <x:v>144286209.24998641</x:v>
      </x:c>
      <x:c r="Y195" s="44">
        <x:v>50</x:v>
      </x:c>
      <x:c r="Z195" s="58">
        <x:f t="shared" si="188"/>
        <x:v>47542</x:v>
      </x:c>
      <x:c r="AA195" s="88">
        <x:f t="shared" si="172"/>
        <x:v>1.8744260446810386E-2</x:v>
      </x:c>
      <x:c r="AB195" s="60">
        <x:f t="shared" si="173"/>
        <x:v>0.98125573955318957</x:v>
      </x:c>
      <x:c r="AC195" s="50">
        <x:f t="shared" si="174"/>
        <x:v>4251886055.6633539</x:v>
      </x:c>
      <x:c r="AD195" s="62">
        <x:f t="shared" si="175"/>
        <x:v>222584807113.89166</x:v>
      </x:c>
      <x:c r="AF195" s="44">
        <x:v>50</x:v>
      </x:c>
      <x:c r="AG195" s="58">
        <x:f t="shared" si="189"/>
        <x:v>47542</x:v>
      </x:c>
      <x:c r="AH195" s="88">
        <x:f t="shared" si="176"/>
        <x:v>2.6804986704515813E-4</x:v>
      </x:c>
      <x:c r="AI195" s="60">
        <x:f t="shared" si="177"/>
        <x:v>0.99973195013295479</x:v>
      </x:c>
      <x:c r="AJ195" s="50">
        <x:f t="shared" si="178"/>
        <x:v>9601129.2494311798</x:v>
      </x:c>
      <x:c r="AK195" s="62">
        <x:f t="shared" si="179"/>
        <x:v>35808843234.364769</x:v>
      </x:c>
      <x:c r="AM195" s="44">
        <x:v>50</x:v>
      </x:c>
      <x:c r="AN195" s="58">
        <x:f t="shared" si="190"/>
        <x:v>47542</x:v>
      </x:c>
      <x:c r="AO195" s="88">
        <x:f t="shared" si="180"/>
        <x:v>0.49580902918264214</x:v>
      </x:c>
      <x:c r="AP195" s="60">
        <x:f t="shared" si="181"/>
        <x:v>0.50419097081735786</x:v>
      </x:c>
      <x:c r="AQ195" s="50">
        <x:f t="shared" si="182"/>
        <x:v>252797540450.08887</x:v>
      </x:c>
      <x:c r="AR195" s="62">
        <x:f t="shared" si="183"/>
        <x:v>257071230731.49713</x:v>
      </x:c>
    </x:row>
    <x:row r="196">
      <x:c r="B196" s="44">
        <x:v>51</x:v>
      </x:c>
      <x:c r="C196" s="58">
        <x:f t="shared" si="184"/>
        <x:v>47573</x:v>
      </x:c>
      <x:c r="D196" s="88">
        <x:f t="shared" si="160"/>
        <x:v>5.6677442945026189E-8</x:v>
      </x:c>
      <x:c r="E196" s="60">
        <x:f t="shared" si="161"/>
        <x:v>0.99999994332255704</x:v>
      </x:c>
      <x:c r="F196" s="50">
        <x:f t="shared" si="162"/>
        <x:v>23138.186108903057</x:v>
      </x:c>
      <x:c r="G196" s="62">
        <x:f t="shared" si="163"/>
        <x:v>408243272723.72754</x:v>
      </x:c>
      <x:c r="J196" s="44">
        <x:f t="shared" si="185"/>
        <x:v>51</x:v>
      </x:c>
      <x:c r="K196" s="58">
        <x:f t="shared" si="186"/>
        <x:v>47573</x:v>
      </x:c>
      <x:c r="L196" s="88">
        <x:f t="shared" si="164"/>
        <x:v>6.5141312773209042E-19</x:v>
      </x:c>
      <x:c r="M196" s="60">
        <x:f t="shared" si="165"/>
        <x:v>1</x:v>
      </x:c>
      <x:c r="N196" s="50">
        <x:f t="shared" si="166"/>
        <x:v>7.0055898225390619E-10</x:v>
      </x:c>
      <x:c r="O196" s="62">
        <x:f t="shared" si="167"/>
        <x:v>1075444986.3375001</x:v>
      </x:c>
      <x:c r="R196" s="44">
        <x:v>51</x:v>
      </x:c>
      <x:c r="S196" s="58">
        <x:f t="shared" si="187"/>
        <x:v>47573</x:v>
      </x:c>
      <x:c r="T196" s="88">
        <x:f t="shared" si="168"/>
        <x:v>5.1691271820678862E-14</x:v>
      </x:c>
      <x:c r="U196" s="60">
        <x:f t="shared" si="169"/>
        <x:v>0.99999999999994826</x:v>
      </x:c>
      <x:c r="V196" s="50">
        <x:f t="shared" si="170"/>
        <x:v>7.4583376623170985E-6</x:v>
      </x:c>
      <x:c r="W196" s="62">
        <x:f t="shared" si="171"/>
        <x:v>144286209.24999255</x:v>
      </x:c>
      <x:c r="Y196" s="44">
        <x:v>51</x:v>
      </x:c>
      <x:c r="Z196" s="58">
        <x:f t="shared" si="188"/>
        <x:v>47573</x:v>
      </x:c>
      <x:c r="AA196" s="88">
        <x:f t="shared" si="172"/>
        <x:v>1.731114030273884E-2</x:v>
      </x:c>
      <x:c r="AB196" s="60">
        <x:f t="shared" si="173"/>
        <x:v>0.98268885969726116</x:v>
      </x:c>
      <x:c r="AC196" s="50">
        <x:f t="shared" si="174"/>
        <x:v>3926801821.267488</x:v>
      </x:c>
      <x:c r="AD196" s="62">
        <x:f t="shared" si="175"/>
        <x:v>222909891348.28754</x:v>
      </x:c>
      <x:c r="AF196" s="44">
        <x:v>51</x:v>
      </x:c>
      <x:c r="AG196" s="58">
        <x:f t="shared" si="189"/>
        <x:v>47573</x:v>
      </x:c>
      <x:c r="AH196" s="88">
        <x:f t="shared" si="176"/>
        <x:v>2.2739447481003071E-4</x:v>
      </x:c>
      <x:c r="AI196" s="60">
        <x:f t="shared" si="177"/>
        <x:v>0.99977260552518998</x:v>
      </x:c>
      <x:c r="AJ196" s="50">
        <x:f t="shared" si="178"/>
        <x:v>8144916.3445763551</x:v>
      </x:c>
      <x:c r="AK196" s="62">
        <x:f t="shared" si="179"/>
        <x:v>35810299447.269623</x:v>
      </x:c>
      <x:c r="AM196" s="44">
        <x:v>51</x:v>
      </x:c>
      <x:c r="AN196" s="58">
        <x:f t="shared" si="190"/>
        <x:v>47573</x:v>
      </x:c>
      <x:c r="AO196" s="88">
        <x:f t="shared" si="180"/>
        <x:v>0.48890076866242566</x:v>
      </x:c>
      <x:c r="AP196" s="60">
        <x:f t="shared" si="181"/>
        <x:v>0.5110992313375744</x:v>
      </x:c>
      <x:c r="AQ196" s="50">
        <x:f t="shared" si="182"/>
        <x:v>249275234147.64383</x:v>
      </x:c>
      <x:c r="AR196" s="62">
        <x:f t="shared" si="183"/>
        <x:v>260593537033.94217</x:v>
      </x:c>
    </x:row>
    <x:row r="197">
      <x:c r="B197" s="44">
        <x:v>52</x:v>
      </x:c>
      <x:c r="C197" s="58">
        <x:f t="shared" si="184"/>
        <x:v>47603</x:v>
      </x:c>
      <x:c r="D197" s="88">
        <x:f t="shared" si="160"/>
        <x:v>4.0862059636298669E-8</x:v>
      </x:c>
      <x:c r="E197" s="60">
        <x:f t="shared" si="161"/>
        <x:v>0.99999995913794038</x:v>
      </x:c>
      <x:c r="F197" s="50">
        <x:f t="shared" si="162"/>
        <x:v>16681.661901628635</x:v>
      </x:c>
      <x:c r="G197" s="62">
        <x:f t="shared" si="163"/>
        <x:v>408243279180.25171</x:v>
      </x:c>
      <x:c r="J197" s="44">
        <x:f t="shared" si="185"/>
        <x:v>52</x:v>
      </x:c>
      <x:c r="K197" s="58">
        <x:f t="shared" si="186"/>
        <x:v>47603</x:v>
      </x:c>
      <x:c r="L197" s="88">
        <x:f t="shared" si="164"/>
        <x:v>2.8659292017212244E-19</x:v>
      </x:c>
      <x:c r="M197" s="60">
        <x:f t="shared" si="165"/>
        <x:v>1</x:v>
      </x:c>
      <x:c r="N197" s="50">
        <x:f t="shared" si="166"/>
        <x:v>3.0821491911893246E-10</x:v>
      </x:c>
      <x:c r="O197" s="62">
        <x:f t="shared" si="167"/>
        <x:v>1075444986.3375001</x:v>
      </x:c>
      <x:c r="R197" s="44">
        <x:v>52</x:v>
      </x:c>
      <x:c r="S197" s="58">
        <x:f t="shared" si="187"/>
        <x:v>47603</x:v>
      </x:c>
      <x:c r="T197" s="88">
        <x:f t="shared" si="168"/>
        <x:v>2.8372394298987716E-14</x:v>
      </x:c>
      <x:c r="U197" s="60">
        <x:f t="shared" si="169"/>
        <x:v>0.99999999999997158</x:v>
      </x:c>
      <x:c r="V197" s="50">
        <x:f t="shared" si="170"/>
        <x:v>4.0937452207472487E-6</x:v>
      </x:c>
      <x:c r="W197" s="62">
        <x:f t="shared" si="171"/>
        <x:v>144286209.24999592</x:v>
      </x:c>
      <x:c r="Y197" s="44">
        <x:v>52</x:v>
      </x:c>
      <x:c r="Z197" s="58">
        <x:f t="shared" si="188"/>
        <x:v>47603</x:v>
      </x:c>
      <x:c r="AA197" s="88">
        <x:f t="shared" si="172"/>
        <x:v>1.598759147801445E-2</x:v>
      </x:c>
      <x:c r="AB197" s="60">
        <x:f t="shared" si="173"/>
        <x:v>0.98401240852198557</x:v>
      </x:c>
      <x:c r="AC197" s="50">
        <x:f t="shared" si="174"/>
        <x:v>3626572382.6185565</x:v>
      </x:c>
      <x:c r="AD197" s="62">
        <x:f t="shared" si="175"/>
        <x:v>223210120786.93646</x:v>
      </x:c>
      <x:c r="AF197" s="44">
        <x:v>52</x:v>
      </x:c>
      <x:c r="AG197" s="58">
        <x:f t="shared" si="189"/>
        <x:v>47603</x:v>
      </x:c>
      <x:c r="AH197" s="88">
        <x:f t="shared" si="176"/>
        <x:v>1.9290532669959673E-4</x:v>
      </x:c>
      <x:c r="AI197" s="60">
        <x:f t="shared" si="177"/>
        <x:v>0.99980709467330042</x:v>
      </x:c>
      <x:c r="AJ197" s="50">
        <x:f t="shared" si="178"/>
        <x:v>6909568.7118343255</x:v>
      </x:c>
      <x:c r="AK197" s="62">
        <x:f t="shared" si="179"/>
        <x:v>35811534794.902359</x:v>
      </x:c>
      <x:c r="AM197" s="44">
        <x:v>52</x:v>
      </x:c>
      <x:c r="AN197" s="58">
        <x:f t="shared" si="190"/>
        <x:v>47603</x:v>
      </x:c>
      <x:c r="AO197" s="88">
        <x:f t="shared" si="180"/>
        <x:v>0.48208876307224519</x:v>
      </x:c>
      <x:c r="AP197" s="60">
        <x:f t="shared" si="181"/>
        <x:v>0.51791123692775476</x:v>
      </x:c>
      <x:c r="AQ197" s="50">
        <x:f t="shared" si="182"/>
        <x:v>245802005228.09641</x:v>
      </x:c>
      <x:c r="AR197" s="62">
        <x:f t="shared" si="183"/>
        <x:v>264066765953.48959</x:v>
      </x:c>
    </x:row>
    <x:row r="198">
      <x:c r="B198" s="44">
        <x:v>53</x:v>
      </x:c>
      <x:c r="C198" s="58">
        <x:f t="shared" si="184"/>
        <x:v>47634</x:v>
      </x:c>
      <x:c r="D198" s="88">
        <x:f t="shared" si="160"/>
        <x:v>2.9459831477223626E-8</x:v>
      </x:c>
      <x:c r="E198" s="60">
        <x:f t="shared" si="161"/>
        <x:v>0.99999997054016854</x:v>
      </x:c>
      <x:c r="F198" s="50">
        <x:f t="shared" si="162"/>
        <x:v>12026.778697798321</x:v>
      </x:c>
      <x:c r="G198" s="62">
        <x:f t="shared" si="163"/>
        <x:v>408243283835.13495</x:v>
      </x:c>
      <x:c r="J198" s="44">
        <x:f t="shared" si="185"/>
        <x:v>53</x:v>
      </x:c>
      <x:c r="K198" s="58">
        <x:f t="shared" si="186"/>
        <x:v>47634</x:v>
      </x:c>
      <x:c r="L198" s="88">
        <x:f t="shared" si="164"/>
        <x:v>1.2608818950078666E-19</x:v>
      </x:c>
      <x:c r="M198" s="60">
        <x:f t="shared" si="165"/>
        <x:v>1</x:v>
      </x:c>
      <x:c r="N198" s="50">
        <x:f t="shared" si="166"/>
        <x:v>1.3560091123499363E-10</x:v>
      </x:c>
      <x:c r="O198" s="62">
        <x:f t="shared" si="167"/>
        <x:v>1075444986.3375001</x:v>
      </x:c>
      <x:c r="R198" s="44">
        <x:v>53</x:v>
      </x:c>
      <x:c r="S198" s="58">
        <x:f t="shared" si="187"/>
        <x:v>47634</x:v>
      </x:c>
      <x:c r="T198" s="88">
        <x:f t="shared" si="168"/>
        <x:v>1.5573088645406417E-14</x:v>
      </x:c>
      <x:c r="U198" s="60">
        <x:f t="shared" si="169"/>
        <x:v>0.99999999999998446</x:v>
      </x:c>
      <x:c r="V198" s="50">
        <x:f t="shared" si="170"/>
        <x:v>2.2469819269599091E-6</x:v>
      </x:c>
      <x:c r="W198" s="62">
        <x:f t="shared" si="171"/>
        <x:v>144286209.24999776</x:v>
      </x:c>
      <x:c r="Y198" s="44">
        <x:v>53</x:v>
      </x:c>
      <x:c r="Z198" s="58">
        <x:f t="shared" si="188"/>
        <x:v>47634</x:v>
      </x:c>
      <x:c r="AA198" s="88">
        <x:f t="shared" si="172"/>
        <x:v>1.4765236535425722E-2</x:v>
      </x:c>
      <x:c r="AB198" s="60">
        <x:f t="shared" si="173"/>
        <x:v>0.98523476346457428</x:v>
      </x:c>
      <x:c r="AC198" s="50">
        <x:f t="shared" si="174"/>
        <x:v>3349297429.5622683</x:v>
      </x:c>
      <x:c r="AD198" s="62">
        <x:f t="shared" si="175"/>
        <x:v>223487395739.99277</x:v>
      </x:c>
      <x:c r="AF198" s="44">
        <x:v>53</x:v>
      </x:c>
      <x:c r="AG198" s="58">
        <x:f t="shared" si="189"/>
        <x:v>47634</x:v>
      </x:c>
      <x:c r="AH198" s="88">
        <x:f t="shared" si="176"/>
        <x:v>1.6364718228165432E-4</x:v>
      </x:c>
      <x:c r="AI198" s="60">
        <x:f t="shared" si="177"/>
        <x:v>0.99983635281771832</x:v>
      </x:c>
      <x:c r="AJ198" s="50">
        <x:f t="shared" si="178"/>
        <x:v>5861587.4938176665</x:v>
      </x:c>
      <x:c r="AK198" s="62">
        <x:f t="shared" si="179"/>
        <x:v>35812582776.120377</x:v>
      </x:c>
      <x:c r="AM198" s="44">
        <x:v>53</x:v>
      </x:c>
      <x:c r="AN198" s="58">
        <x:f t="shared" si="190"/>
        <x:v>47634</x:v>
      </x:c>
      <x:c r="AO198" s="88">
        <x:f t="shared" si="180"/>
        <x:v>0.47537167126239604</x:v>
      </x:c>
      <x:c r="AP198" s="60">
        <x:f t="shared" si="181"/>
        <x:v>0.5246283287376039</x:v>
      </x:c>
      <x:c r="AQ198" s="50">
        <x:f t="shared" si="182"/>
        <x:v>242377169881.09473</x:v>
      </x:c>
      <x:c r="AR198" s="62">
        <x:f t="shared" si="183"/>
        <x:v>267491601300.49127</x:v>
      </x:c>
    </x:row>
    <x:row r="199">
      <x:c r="B199" s="44">
        <x:v>54</x:v>
      </x:c>
      <x:c r="C199" s="58">
        <x:f t="shared" si="184"/>
        <x:v>47664</x:v>
      </x:c>
      <x:c r="D199" s="88">
        <x:f t="shared" si="160"/>
        <x:v>2.1239303118618563E-8</x:v>
      </x:c>
      <x:c r="E199" s="60">
        <x:f t="shared" si="161"/>
        <x:v>0.99999997876069691</x:v>
      </x:c>
      <x:c r="F199" s="50">
        <x:f t="shared" si="162"/>
        <x:v>8670.8031069550634</x:v>
      </x:c>
      <x:c r="G199" s="62">
        <x:f t="shared" si="163"/>
        <x:v>408243287191.11053</x:v>
      </x:c>
      <x:c r="J199" s="44">
        <x:f t="shared" si="185"/>
        <x:v>54</x:v>
      </x:c>
      <x:c r="K199" s="58">
        <x:f t="shared" si="186"/>
        <x:v>47664</x:v>
      </x:c>
      <x:c r="L199" s="88">
        <x:f t="shared" si="164"/>
        <x:v>5.547321797774384E-20</x:v>
      </x:c>
      <x:c r="M199" s="60">
        <x:f t="shared" si="165"/>
        <x:v>1</x:v>
      </x:c>
      <x:c r="N199" s="50">
        <x:f t="shared" si="166"/>
        <x:v>5.9658394150171895E-11</x:v>
      </x:c>
      <x:c r="O199" s="62">
        <x:f t="shared" si="167"/>
        <x:v>1075444986.3375001</x:v>
      </x:c>
      <x:c r="R199" s="44">
        <x:v>54</x:v>
      </x:c>
      <x:c r="S199" s="58">
        <x:f t="shared" si="187"/>
        <x:v>47664</x:v>
      </x:c>
      <x:c r="T199" s="88">
        <x:f t="shared" si="168"/>
        <x:v>8.5477837154666597E-15</x:v>
      </x:c>
      <x:c r="U199" s="60">
        <x:f t="shared" si="169"/>
        <x:v>0.99999999999999145</x:v>
      </x:c>
      <x:c r="V199" s="50">
        <x:f t="shared" si="170"/>
        <x:v>1.233327309793565E-6</x:v>
      </x:c>
      <x:c r="W199" s="62">
        <x:f t="shared" si="171"/>
        <x:v>144286209.24999878</x:v>
      </x:c>
      <x:c r="Y199" s="44">
        <x:v>54</x:v>
      </x:c>
      <x:c r="Z199" s="58">
        <x:f t="shared" si="188"/>
        <x:v>47664</x:v>
      </x:c>
      <x:c r="AA199" s="88">
        <x:f t="shared" si="172"/>
        <x:v>1.3636338547108424E-2</x:v>
      </x:c>
      <x:c r="AB199" s="60">
        <x:f t="shared" si="173"/>
        <x:v>0.98636366145289156</x:v>
      </x:c>
      <x:c r="AC199" s="50">
        <x:f t="shared" si="174"/>
        <x:v>3093221942.9666095</x:v>
      </x:c>
      <x:c r="AD199" s="62">
        <x:f t="shared" si="175"/>
        <x:v>223743471226.58841</x:v>
      </x:c>
      <x:c r="AF199" s="44">
        <x:v>54</x:v>
      </x:c>
      <x:c r="AG199" s="58">
        <x:f t="shared" si="189"/>
        <x:v>47664</x:v>
      </x:c>
      <x:c r="AH199" s="88">
        <x:f t="shared" si="176"/>
        <x:v>1.3882664997856163E-4</x:v>
      </x:c>
      <x:c r="AI199" s="60">
        <x:f t="shared" si="177"/>
        <x:v>0.99986117335002145</x:v>
      </x:c>
      <x:c r="AJ199" s="50">
        <x:f t="shared" si="178"/>
        <x:v>4972554.6384440521</x:v>
      </x:c>
      <x:c r="AK199" s="62">
        <x:f t="shared" si="179"/>
        <x:v>35813471808.975754</x:v>
      </x:c>
      <x:c r="AM199" s="44">
        <x:v>54</x:v>
      </x:c>
      <x:c r="AN199" s="58">
        <x:f t="shared" si="190"/>
        <x:v>47664</x:v>
      </x:c>
      <x:c r="AO199" s="88">
        <x:f t="shared" si="180"/>
        <x:v>0.46874817076982717</x:v>
      </x:c>
      <x:c r="AP199" s="60">
        <x:f t="shared" si="181"/>
        <x:v>0.53125182923017289</x:v>
      </x:c>
      <x:c r="AQ199" s="50">
        <x:f t="shared" si="182"/>
        <x:v>239000053824.02802</x:v>
      </x:c>
      <x:c r="AR199" s="62">
        <x:f t="shared" si="183"/>
        <x:v>270868717357.55798</x:v>
      </x:c>
    </x:row>
    <x:row r="200">
      <x:c r="B200" s="44">
        <x:v>55</x:v>
      </x:c>
      <x:c r="C200" s="58">
        <x:f t="shared" si="184"/>
        <x:v>47695</x:v>
      </x:c>
      <x:c r="D200" s="88">
        <x:f t="shared" si="160"/>
        <x:v>1.5312646893901169E-8</x:v>
      </x:c>
      <x:c r="E200" s="60">
        <x:f t="shared" si="161"/>
        <x:v>0.99999998468735307</x:v>
      </x:c>
      <x:c r="F200" s="50">
        <x:f t="shared" si="162"/>
        <x:v>6251.2854363359074</x:v>
      </x:c>
      <x:c r="G200" s="62">
        <x:f t="shared" si="163"/>
        <x:v>408243289610.62817</x:v>
      </x:c>
      <x:c r="J200" s="44">
        <x:f t="shared" si="185"/>
        <x:v>55</x:v>
      </x:c>
      <x:c r="K200" s="58">
        <x:f t="shared" si="186"/>
        <x:v>47695</x:v>
      </x:c>
      <x:c r="L200" s="88">
        <x:f t="shared" si="164"/>
        <x:v>2.4405758580482311E-20</x:v>
      </x:c>
      <x:c r="M200" s="60">
        <x:f t="shared" si="165"/>
        <x:v>1</x:v>
      </x:c>
      <x:c r="N200" s="50">
        <x:f t="shared" si="166"/>
        <x:v>2.6247050703143125E-11</x:v>
      </x:c>
      <x:c r="O200" s="62">
        <x:f t="shared" si="167"/>
        <x:v>1075444986.3375001</x:v>
      </x:c>
      <x:c r="R200" s="44">
        <x:v>55</x:v>
      </x:c>
      <x:c r="S200" s="58">
        <x:f t="shared" si="187"/>
        <x:v>47695</x:v>
      </x:c>
      <x:c r="T200" s="88">
        <x:f t="shared" si="168"/>
        <x:v>4.6917222466301551E-15</x:v>
      </x:c>
      <x:c r="U200" s="60">
        <x:f t="shared" si="169"/>
        <x:v>0.99999999999999534</x:v>
      </x:c>
      <x:c r="V200" s="50">
        <x:f t="shared" si="170"/>
        <x:v>6.7695081782015864E-7</x:v>
      </x:c>
      <x:c r="W200" s="62">
        <x:f t="shared" si="171"/>
        <x:v>144286209.24999931</x:v>
      </x:c>
      <x:c r="Y200" s="44">
        <x:v>55</x:v>
      </x:c>
      <x:c r="Z200" s="58">
        <x:f t="shared" si="188"/>
        <x:v>47695</x:v>
      </x:c>
      <x:c r="AA200" s="88">
        <x:f t="shared" si="172"/>
        <x:v>1.2593752123456493E-2</x:v>
      </x:c>
      <x:c r="AB200" s="60">
        <x:f t="shared" si="173"/>
        <x:v>0.98740624787654352</x:v>
      </x:c>
      <x:c r="AC200" s="50">
        <x:f t="shared" si="174"/>
        <x:v>2856725086.2819324</x:v>
      </x:c>
      <x:c r="AD200" s="62">
        <x:f t="shared" si="175"/>
        <x:v>223979968083.2731</x:v>
      </x:c>
      <x:c r="AF200" s="44">
        <x:v>55</x:v>
      </x:c>
      <x:c r="AG200" s="58">
        <x:f t="shared" si="189"/>
        <x:v>47695</x:v>
      </x:c>
      <x:c r="AH200" s="88">
        <x:f t="shared" si="176"/>
        <x:v>1.1777067270916678E-4</x:v>
      </x:c>
      <x:c r="AI200" s="60">
        <x:f t="shared" si="177"/>
        <x:v>0.99988222932729087</x:v>
      </x:c>
      <x:c r="AJ200" s="50">
        <x:f t="shared" si="178"/>
        <x:v>4218362.2880987069</x:v>
      </x:c>
      <x:c r="AK200" s="62">
        <x:f t="shared" si="179"/>
        <x:v>35814226001.326096</x:v>
      </x:c>
      <x:c r="AM200" s="44">
        <x:v>55</x:v>
      </x:c>
      <x:c r="AN200" s="58">
        <x:f t="shared" si="190"/>
        <x:v>47695</x:v>
      </x:c>
      <x:c r="AO200" s="88">
        <x:f t="shared" si="180"/>
        <x:v>0.46221695755777414</x:v>
      </x:c>
      <x:c r="AP200" s="60">
        <x:f t="shared" si="181"/>
        <x:v>0.53778304244222586</x:v>
      </x:c>
      <x:c r="AQ200" s="50">
        <x:f t="shared" si="182"/>
        <x:v>235669992169.27359</x:v>
      </x:c>
      <x:c r="AR200" s="62">
        <x:f t="shared" si="183"/>
        <x:v>274198779012.31241</x:v>
      </x:c>
    </x:row>
    <x:row r="201">
      <x:c r="B201" s="44">
        <x:v>56</x:v>
      </x:c>
      <x:c r="C201" s="58">
        <x:f t="shared" si="184"/>
        <x:v>47726</x:v>
      </x:c>
      <x:c r="D201" s="88">
        <x:f t="shared" si="160"/>
        <x:v>1.1039776285868641E-8</x:v>
      </x:c>
      <x:c r="E201" s="60">
        <x:f t="shared" si="161"/>
        <x:v>0.99999998896022368</x:v>
      </x:c>
      <x:c r="F201" s="50">
        <x:f t="shared" si="162"/>
        <x:v>4506.9146565212095</x:v>
      </x:c>
      <x:c r="G201" s="62">
        <x:f t="shared" si="163"/>
        <x:v>408243291354.99896</x:v>
      </x:c>
      <x:c r="J201" s="44">
        <x:f t="shared" si="185"/>
        <x:v>56</x:v>
      </x:c>
      <x:c r="K201" s="58">
        <x:f t="shared" si="186"/>
        <x:v>47726</x:v>
      </x:c>
      <x:c r="L201" s="88">
        <x:f t="shared" si="164"/>
        <x:v>1.073745265918693E-20</x:v>
      </x:c>
      <x:c r="M201" s="60">
        <x:f t="shared" si="165"/>
        <x:v>1</x:v>
      </x:c>
      <x:c r="N201" s="50">
        <x:f t="shared" si="166"/>
        <x:v>1.1547539628358842E-11</x:v>
      </x:c>
      <x:c r="O201" s="62">
        <x:f t="shared" si="167"/>
        <x:v>1075444986.3375001</x:v>
      </x:c>
      <x:c r="R201" s="44">
        <x:v>56</x:v>
      </x:c>
      <x:c r="S201" s="58">
        <x:f t="shared" si="187"/>
        <x:v>47726</x:v>
      </x:c>
      <x:c r="T201" s="88">
        <x:f t="shared" si="168"/>
        <x:v>2.5752005867549868E-15</x:v>
      </x:c>
      <x:c r="U201" s="60">
        <x:f t="shared" si="169"/>
        <x:v>0.99999999999999745</x:v>
      </x:c>
      <x:c r="V201" s="50">
        <x:f t="shared" si="170"/>
        <x:v>3.7156593072125278E-7</x:v>
      </x:c>
      <x:c r="W201" s="62">
        <x:f t="shared" si="171"/>
        <x:v>144286209.24999964</x:v>
      </x:c>
      <x:c r="Y201" s="44">
        <x:v>56</x:v>
      </x:c>
      <x:c r="Z201" s="58">
        <x:f t="shared" si="188"/>
        <x:v>47726</x:v>
      </x:c>
      <x:c r="AA201" s="88">
        <x:f t="shared" si="172"/>
        <x:v>1.1630878186189981E-2</x:v>
      </x:c>
      <x:c r="AB201" s="60">
        <x:f t="shared" si="173"/>
        <x:v>0.98836912181380998</x:v>
      </x:c>
      <x:c r="AC201" s="50">
        <x:f t="shared" si="174"/>
        <x:v>2638309946.4132471</x:v>
      </x:c>
      <x:c r="AD201" s="62">
        <x:f t="shared" si="175"/>
        <x:v>224198383223.14178</x:v>
      </x:c>
      <x:c r="AF201" s="44">
        <x:v>56</x:v>
      </x:c>
      <x:c r="AG201" s="58">
        <x:f t="shared" si="189"/>
        <x:v>47726</x:v>
      </x:c>
      <x:c r="AH201" s="88">
        <x:f t="shared" si="176"/>
        <x:v>9.9908276635008852E-5</x:v>
      </x:c>
      <x:c r="AI201" s="60">
        <x:f t="shared" si="177"/>
        <x:v>0.99990009172336503</x:v>
      </x:c>
      <x:c r="AJ201" s="50">
        <x:f t="shared" si="178"/>
        <x:v>3578559.0481156409</x:v>
      </x:c>
      <x:c r="AK201" s="62">
        <x:f t="shared" si="179"/>
        <x:v>35814865804.566078</x:v>
      </x:c>
      <x:c r="AM201" s="44">
        <x:v>56</x:v>
      </x:c>
      <x:c r="AN201" s="58">
        <x:f t="shared" si="190"/>
        <x:v>47726</x:v>
      </x:c>
      <x:c r="AO201" s="88">
        <x:f t="shared" si="180"/>
        <x:v>0.45577674575901989</x:v>
      </x:c>
      <x:c r="AP201" s="60">
        <x:f t="shared" si="181"/>
        <x:v>0.54422325424098017</x:v>
      </x:c>
      <x:c r="AQ201" s="50">
        <x:f t="shared" si="182"/>
        <x:v>232386329293.29361</x:v>
      </x:c>
      <x:c r="AR201" s="62">
        <x:f t="shared" si="183"/>
        <x:v>277482441888.29236</x:v>
      </x:c>
    </x:row>
    <x:row r="202">
      <x:c r="B202" s="44">
        <x:v>57</x:v>
      </x:c>
      <x:c r="C202" s="58">
        <x:f t="shared" si="184"/>
        <x:v>47756</x:v>
      </x:c>
      <x:c r="D202" s="88">
        <x:f t="shared" si="160"/>
        <x:v>7.9592157571771306E-9</x:v>
      </x:c>
      <x:c r="E202" s="60">
        <x:f t="shared" si="161"/>
        <x:v>0.99999999204078427</x:v>
      </x:c>
      <x:c r="F202" s="50">
        <x:f t="shared" si="162"/>
        <x:v>3249.2964731860684</x:v>
      </x:c>
      <x:c r="G202" s="62">
        <x:f t="shared" si="163"/>
        <x:v>408243292612.61719</x:v>
      </x:c>
      <x:c r="J202" s="44">
        <x:f t="shared" si="185"/>
        <x:v>57</x:v>
      </x:c>
      <x:c r="K202" s="58">
        <x:f t="shared" si="186"/>
        <x:v>47756</x:v>
      </x:c>
      <x:c r="L202" s="88">
        <x:f t="shared" si="164"/>
        <x:v>4.7240035267939633E-21</x:v>
      </x:c>
      <x:c r="M202" s="60">
        <x:f t="shared" si="165"/>
        <x:v>1</x:v>
      </x:c>
      <x:c r="N202" s="50">
        <x:f t="shared" si="166"/>
        <x:v>5.0804059083312365E-12</x:v>
      </x:c>
      <x:c r="O202" s="62">
        <x:f t="shared" si="167"/>
        <x:v>1075444986.3375001</x:v>
      </x:c>
      <x:c r="R202" s="44">
        <x:v>57</x:v>
      </x:c>
      <x:c r="S202" s="58">
        <x:f t="shared" si="187"/>
        <x:v>47756</x:v>
      </x:c>
      <x:c r="T202" s="88">
        <x:f t="shared" si="168"/>
        <x:v>1.4134805330359E-15</x:v>
      </x:c>
      <x:c r="U202" s="60">
        <x:f t="shared" si="169"/>
        <x:v>0.99999999999999856</x:v>
      </x:c>
      <x:c r="V202" s="50">
        <x:f t="shared" si="170"/>
        <x:v>2.039457479604194E-7</x:v>
      </x:c>
      <x:c r="W202" s="62">
        <x:f t="shared" si="171"/>
        <x:v>144286209.24999979</x:v>
      </x:c>
      <x:c r="Y202" s="44">
        <x:v>57</x:v>
      </x:c>
      <x:c r="Z202" s="58">
        <x:f t="shared" si="188"/>
        <x:v>47756</x:v>
      </x:c>
      <x:c r="AA202" s="88">
        <x:f t="shared" si="172"/>
        <x:v>1.0741622199314941E-2</x:v>
      </x:c>
      <x:c r="AB202" s="60">
        <x:f t="shared" si="173"/>
        <x:v>0.98925837780068504</x:v>
      </x:c>
      <x:c r="AC202" s="50">
        <x:f t="shared" si="174"/>
        <x:v>2436594058.9692841</x:v>
      </x:c>
      <x:c r="AD202" s="62">
        <x:f t="shared" si="175"/>
        <x:v>224400099110.58575</x:v>
      </x:c>
      <x:c r="AF202" s="44">
        <x:v>57</x:v>
      </x:c>
      <x:c r="AG202" s="58">
        <x:f t="shared" si="189"/>
        <x:v>47756</x:v>
      </x:c>
      <x:c r="AH202" s="88">
        <x:f t="shared" si="176"/>
        <x:v>8.4755088092491835E-5</x:v>
      </x:c>
      <x:c r="AI202" s="60">
        <x:f t="shared" si="177"/>
        <x:v>0.99991524491190753</x:v>
      </x:c>
      <x:c r="AJ202" s="50">
        <x:f t="shared" si="178"/>
        <x:v>3035795.4073741389</x:v>
      </x:c>
      <x:c r="AK202" s="62">
        <x:f t="shared" si="179"/>
        <x:v>35815408568.206825</x:v>
      </x:c>
      <x:c r="AM202" s="44">
        <x:v>57</x:v>
      </x:c>
      <x:c r="AN202" s="58">
        <x:f t="shared" si="190"/>
        <x:v>47756</x:v>
      </x:c>
      <x:c r="AO202" s="88">
        <x:f t="shared" si="180"/>
        <x:v>0.44942626742273306</x:v>
      </x:c>
      <x:c r="AP202" s="60">
        <x:f t="shared" si="181"/>
        <x:v>0.55057373257726694</x:v>
      </x:c>
      <x:c r="AQ202" s="50">
        <x:f t="shared" si="182"/>
        <x:v>229148418707.55576</x:v>
      </x:c>
      <x:c r="AR202" s="62">
        <x:f t="shared" si="183"/>
        <x:v>280720352474.03027</x:v>
      </x:c>
    </x:row>
    <x:row r="203">
      <x:c r="B203" s="44">
        <x:v>58</x:v>
      </x:c>
      <x:c r="C203" s="58">
        <x:f t="shared" si="184"/>
        <x:v>47787</x:v>
      </x:c>
      <x:c r="D203" s="88">
        <x:f t="shared" si="160"/>
        <x:v>5.7382607970404382E-9</x:v>
      </x:c>
      <x:c r="E203" s="60">
        <x:f t="shared" si="161"/>
        <x:v>0.99999999426173924</x:v>
      </x:c>
      <x:c r="F203" s="50">
        <x:f t="shared" si="162"/>
        <x:v>2342.6065002989999</x:v>
      </x:c>
      <x:c r="G203" s="62">
        <x:f t="shared" si="163"/>
        <x:v>408243293519.30713</x:v>
      </x:c>
      <x:c r="J203" s="44">
        <x:f t="shared" si="185"/>
        <x:v>58</x:v>
      </x:c>
      <x:c r="K203" s="58">
        <x:f t="shared" si="186"/>
        <x:v>47787</x:v>
      </x:c>
      <x:c r="L203" s="88">
        <x:f t="shared" si="164"/>
        <x:v>2.0783522898299613E-21</x:v>
      </x:c>
      <x:c r="M203" s="60">
        <x:f t="shared" si="165"/>
        <x:v>1</x:v>
      </x:c>
      <x:c r="N203" s="50">
        <x:f t="shared" si="166"/>
        <x:v>2.2351535499406949E-12</x:v>
      </x:c>
      <x:c r="O203" s="62">
        <x:f t="shared" si="167"/>
        <x:v>1075444986.3375001</x:v>
      </x:c>
      <x:c r="R203" s="44">
        <x:v>58</x:v>
      </x:c>
      <x:c r="S203" s="58">
        <x:f t="shared" si="187"/>
        <x:v>47787</x:v>
      </x:c>
      <x:c r="T203" s="88">
        <x:f t="shared" si="168"/>
        <x:v>7.7583362925100996E-16</x:v>
      </x:c>
      <x:c r="U203" s="60">
        <x:f t="shared" si="169"/>
        <x:v>0.99999999999999922</x:v>
      </x:c>
      <x:c r="V203" s="50">
        <x:f t="shared" si="170"/>
        <x:v>1.1194209337329814E-7</x:v>
      </x:c>
      <x:c r="W203" s="62">
        <x:f t="shared" si="171"/>
        <x:v>144286209.24999988</x:v>
      </x:c>
      <x:c r="Y203" s="44">
        <x:v>58</x:v>
      </x:c>
      <x:c r="Z203" s="58">
        <x:f t="shared" si="188"/>
        <x:v>47787</x:v>
      </x:c>
      <x:c r="AA203" s="88">
        <x:f t="shared" si="172"/>
        <x:v>9.9203555935970366E-3</x:v>
      </x:c>
      <x:c r="AB203" s="60">
        <x:f t="shared" si="173"/>
        <x:v>0.99007964440640295</x:v>
      </x:c>
      <x:c r="AC203" s="50">
        <x:f t="shared" si="174"/>
        <x:v>2250300657.9176497</x:v>
      </x:c>
      <x:c r="AD203" s="62">
        <x:f t="shared" si="175"/>
        <x:v>224586392511.63736</x:v>
      </x:c>
      <x:c r="AF203" s="44">
        <x:v>58</x:v>
      </x:c>
      <x:c r="AG203" s="58">
        <x:f t="shared" si="189"/>
        <x:v>47787</x:v>
      </x:c>
      <x:c r="AH203" s="88">
        <x:f t="shared" si="176"/>
        <x:v>7.190019885748793E-5</x:v>
      </x:c>
      <x:c r="AI203" s="60">
        <x:f t="shared" si="177"/>
        <x:v>0.9999280998011425</x:v>
      </x:c>
      <x:c r="AJ203" s="50">
        <x:f t="shared" si="178"/>
        <x:v>2575353.2725097286</x:v>
      </x:c>
      <x:c r="AK203" s="62">
        <x:f t="shared" si="179"/>
        <x:v>35815869010.34169</x:v>
      </x:c>
      <x:c r="AM203" s="44">
        <x:v>58</x:v>
      </x:c>
      <x:c r="AN203" s="58">
        <x:f t="shared" si="190"/>
        <x:v>47787</x:v>
      </x:c>
      <x:c r="AO203" s="88">
        <x:f t="shared" si="180"/>
        <x:v>0.44316427226483329</x:v>
      </x:c>
      <x:c r="AP203" s="60">
        <x:f t="shared" si="181"/>
        <x:v>0.55683572773516676</x:v>
      </x:c>
      <x:c r="AQ203" s="50">
        <x:f t="shared" si="182"/>
        <x:v>225955622931.25235</x:v>
      </x:c>
      <x:c r="AR203" s="62">
        <x:f t="shared" si="183"/>
        <x:v>283913148250.33362</x:v>
      </x:c>
    </x:row>
    <x:row r="204">
      <x:c r="B204" s="44">
        <x:v>59</x:v>
      </x:c>
      <x:c r="C204" s="58">
        <x:f t="shared" si="184"/>
        <x:v>47817</x:v>
      </x:c>
      <x:c r="D204" s="88">
        <x:f t="shared" si="160"/>
        <x:v>4.1370454049017396E-9</x:v>
      </x:c>
      <x:c r="E204" s="60">
        <x:f t="shared" si="161"/>
        <x:v>0.99999999586295463</x:v>
      </x:c>
      <x:c r="F204" s="50">
        <x:f t="shared" si="162"/>
        <x:v>1688.9210512274713</x:v>
      </x:c>
      <x:c r="G204" s="62">
        <x:f t="shared" si="163"/>
        <x:v>408243294172.99255</x:v>
      </x:c>
      <x:c r="J204" s="44">
        <x:f t="shared" si="185"/>
        <x:v>59</x:v>
      </x:c>
      <x:c r="K204" s="58">
        <x:f t="shared" si="186"/>
        <x:v>47817</x:v>
      </x:c>
      <x:c r="L204" s="88">
        <x:f t="shared" si="164"/>
        <x:v>9.1438294153284803E-22</x:v>
      </x:c>
      <x:c r="M204" s="60">
        <x:f t="shared" si="165"/>
        <x:v>1</x:v>
      </x:c>
      <x:c r="N204" s="50">
        <x:f t="shared" si="166"/>
        <x:v>9.8336855006403688E-13</x:v>
      </x:c>
      <x:c r="O204" s="62">
        <x:f t="shared" si="167"/>
        <x:v>1075444986.3375001</x:v>
      </x:c>
      <x:c r="R204" s="44">
        <x:v>59</x:v>
      </x:c>
      <x:c r="S204" s="58">
        <x:f t="shared" si="187"/>
        <x:v>47817</x:v>
      </x:c>
      <x:c r="T204" s="88">
        <x:f t="shared" si="168"/>
        <x:v>4.258408985541439E-16</x:v>
      </x:c>
      <x:c r="U204" s="60">
        <x:f t="shared" si="169"/>
        <x:v>0.99999999999999956</x:v>
      </x:c>
      <x:c r="V204" s="50">
        <x:f t="shared" si="170"/>
        <x:v>6.1442968995991228E-8</x:v>
      </x:c>
      <x:c r="W204" s="62">
        <x:f t="shared" si="171"/>
        <x:v>144286209.24999994</x:v>
      </x:c>
      <x:c r="Y204" s="44">
        <x:v>59</x:v>
      </x:c>
      <x:c r="Z204" s="58">
        <x:f t="shared" si="188"/>
        <x:v>47817</x:v>
      </x:c>
      <x:c r="AA204" s="88">
        <x:f t="shared" si="172"/>
        <x:v>9.1618801403840523E-3</x:v>
      </x:c>
      <x:c r="AB204" s="60">
        <x:f t="shared" si="173"/>
        <x:v>0.9908381198596159</x:v>
      </x:c>
      <x:c r="AC204" s="50">
        <x:f t="shared" si="174"/>
        <x:v>2078250594.2605369</x:v>
      </x:c>
      <x:c r="AD204" s="62">
        <x:f t="shared" si="175"/>
        <x:v>224758442575.29449</x:v>
      </x:c>
      <x:c r="AF204" s="44">
        <x:v>59</x:v>
      </x:c>
      <x:c r="AG204" s="58">
        <x:f t="shared" si="189"/>
        <x:v>47817</x:v>
      </x:c>
      <x:c r="AH204" s="88">
        <x:f t="shared" si="176"/>
        <x:v>6.0995023568434816E-5</x:v>
      </x:c>
      <x:c r="AI204" s="60">
        <x:f t="shared" si="177"/>
        <x:v>0.99993900497643151</x:v>
      </x:c>
      <x:c r="AJ204" s="50">
        <x:f t="shared" si="178"/>
        <x:v>2184746.8581433189</x:v>
      </x:c>
      <x:c r="AK204" s="62">
        <x:f t="shared" si="179"/>
        <x:v>35816259616.75605</x:v>
      </x:c>
      <x:c r="AM204" s="44">
        <x:v>59</x:v>
      </x:c>
      <x:c r="AN204" s="58">
        <x:f t="shared" si="190"/>
        <x:v>47817</x:v>
      </x:c>
      <x:c r="AO204" s="88">
        <x:f t="shared" si="180"/>
        <x:v>0.43698952742183478</x:v>
      </x:c>
      <x:c r="AP204" s="60">
        <x:f t="shared" si="181"/>
        <x:v>0.56301047257816528</x:v>
      </x:c>
      <x:c r="AQ204" s="50">
        <x:f t="shared" si="182"/>
        <x:v>222807313365.79288</x:v>
      </x:c>
      <x:c r="AR204" s="62">
        <x:f t="shared" si="183"/>
        <x:v>287061457815.79309</x:v>
      </x:c>
    </x:row>
    <x:row r="205">
      <x:c r="B205" s="44">
        <x:v>60</x:v>
      </x:c>
      <x:c r="C205" s="58">
        <x:f t="shared" si="184"/>
        <x:v>47848</x:v>
      </x:c>
      <x:c r="D205" s="88">
        <x:f t="shared" si="160"/>
        <x:v>2.982636252964643E-9</x:v>
      </x:c>
      <x:c r="E205" s="60">
        <x:f t="shared" si="161"/>
        <x:v>0.99999999701736375</x:v>
      </x:c>
      <x:c r="F205" s="50">
        <x:f t="shared" si="162"/>
        <x:v>1217.6412542675143</x:v>
      </x:c>
      <x:c r="G205" s="62">
        <x:f t="shared" si="163"/>
        <x:v>408243294644.2724</x:v>
      </x:c>
      <x:c r="J205" s="44">
        <x:f t="shared" si="185"/>
        <x:v>60</x:v>
      </x:c>
      <x:c r="K205" s="58">
        <x:f t="shared" si="186"/>
        <x:v>47848</x:v>
      </x:c>
      <x:c r="L205" s="88">
        <x:f t="shared" si="164"/>
        <x:v>4.0228798931612718E-22</x:v>
      </x:c>
      <x:c r="M205" s="60">
        <x:f t="shared" si="165"/>
        <x:v>1</x:v>
      </x:c>
      <x:c r="N205" s="50">
        <x:f t="shared" si="166"/>
        <x:v>4.3263860117382277E-13</x:v>
      </x:c>
      <x:c r="O205" s="62">
        <x:f t="shared" si="167"/>
        <x:v>1075444986.3375001</x:v>
      </x:c>
      <x:c r="R205" s="44">
        <x:v>60</x:v>
      </x:c>
      <x:c r="S205" s="58">
        <x:f t="shared" si="187"/>
        <x:v>47848</x:v>
      </x:c>
      <x:c r="T205" s="88">
        <x:f t="shared" si="168"/>
        <x:v>2.3373628577619861E-16</x:v>
      </x:c>
      <x:c r="U205" s="60">
        <x:f t="shared" si="169"/>
        <x:v>0.99999999999999978</x:v>
      </x:c>
      <x:c r="V205" s="50">
        <x:f t="shared" si="170"/>
        <x:v>3.372492263882239E-8</x:v>
      </x:c>
      <x:c r="W205" s="62">
        <x:f t="shared" si="171"/>
        <x:v>144286209.24999997</x:v>
      </x:c>
      <x:c r="Y205" s="44">
        <x:v>60</x:v>
      </x:c>
      <x:c r="Z205" s="58">
        <x:f t="shared" si="188"/>
        <x:v>47848</x:v>
      </x:c>
      <x:c r="AA205" s="88">
        <x:f t="shared" si="172"/>
        <x:v>8.4613950492804599E-3</x:v>
      </x:c>
      <x:c r="AB205" s="60">
        <x:f t="shared" si="173"/>
        <x:v>0.99153860495071955</x:v>
      </x:c>
      <x:c r="AC205" s="50">
        <x:f t="shared" si="174"/>
        <x:v>1919354872.5800235</x:v>
      </x:c>
      <x:c r="AD205" s="62">
        <x:f t="shared" si="175"/>
        <x:v>224917338296.97501</x:v>
      </x:c>
      <x:c r="AF205" s="44">
        <x:v>60</x:v>
      </x:c>
      <x:c r="AG205" s="58">
        <x:f t="shared" si="189"/>
        <x:v>47848</x:v>
      </x:c>
      <x:c r="AH205" s="88">
        <x:f t="shared" si="176"/>
        <x:v>5.1743847155249761E-5</x:v>
      </x:c>
      <x:c r="AI205" s="60">
        <x:f t="shared" si="177"/>
        <x:v>0.99994825615284477</x:v>
      </x:c>
      <x:c r="AJ205" s="50">
        <x:f t="shared" si="178"/>
        <x:v>1853384.1104896702</x:v>
      </x:c>
      <x:c r="AK205" s="62">
        <x:f t="shared" si="179"/>
        <x:v>35816590979.503708</x:v>
      </x:c>
      <x:c r="AM205" s="44">
        <x:v>60</x:v>
      </x:c>
      <x:c r="AN205" s="58">
        <x:f t="shared" si="190"/>
        <x:v>47848</x:v>
      </x:c>
      <x:c r="AO205" s="88">
        <x:f t="shared" si="180"/>
        <x:v>0.43090081720812012</x:v>
      </x:c>
      <x:c r="AP205" s="60">
        <x:f t="shared" si="181"/>
        <x:v>0.56909918279187988</x:v>
      </x:c>
      <x:c r="AQ205" s="50">
        <x:f t="shared" si="182"/>
        <x:v>219702870171.04541</x:v>
      </x:c>
      <x:c r="AR205" s="62">
        <x:f t="shared" si="183"/>
        <x:v>290165901010.54059</x:v>
      </x:c>
    </x:row>
    <x:row r="206">
      <x:c r="B206" s="44">
        <x:v>61</x:v>
      </x:c>
      <x:c r="C206" s="58">
        <x:f t="shared" si="184"/>
        <x:v>47879</x:v>
      </x:c>
      <x:c r="D206" s="88">
        <x:f t="shared" si="160"/>
        <x:v>2.1503556637204128E-9</x:v>
      </x:c>
      <x:c r="E206" s="60">
        <x:f t="shared" si="161"/>
        <x:v>0.99999999784964433</x:v>
      </x:c>
      <x:c r="F206" s="50">
        <x:f t="shared" si="162"/>
        <x:v>877.86828343255411</x:v>
      </x:c>
      <x:c r="G206" s="62">
        <x:f t="shared" si="163"/>
        <x:v>408243294984.04535</x:v>
      </x:c>
      <x:c r="J206" s="44">
        <x:f t="shared" si="185"/>
        <x:v>61</x:v>
      </x:c>
      <x:c r="K206" s="58">
        <x:f t="shared" si="186"/>
        <x:v>47879</x:v>
      </x:c>
      <x:c r="L206" s="88">
        <x:f t="shared" si="164"/>
        <x:v>1.769888949117057E-22</x:v>
      </x:c>
      <x:c r="M206" s="60">
        <x:f t="shared" si="165"/>
        <x:v>1</x:v>
      </x:c>
      <x:c r="N206" s="50">
        <x:f t="shared" si="166"/>
        <x:v>1.9034181967020858E-13</x:v>
      </x:c>
      <x:c r="O206" s="62">
        <x:f t="shared" si="167"/>
        <x:v>1075444986.3375001</x:v>
      </x:c>
      <x:c r="R206" s="44">
        <x:v>61</x:v>
      </x:c>
      <x:c r="S206" s="58">
        <x:f t="shared" si="187"/>
        <x:v>47879</x:v>
      </x:c>
      <x:c r="T206" s="88">
        <x:f t="shared" si="168"/>
        <x:v>1.2829357507451073E-16</x:v>
      </x:c>
      <x:c r="U206" s="60">
        <x:f t="shared" si="169"/>
        <x:v>0.99999999999999989</x:v>
      </x:c>
      <x:c r="V206" s="50">
        <x:f t="shared" si="170"/>
        <x:v>1.851099361863144E-8</x:v>
      </x:c>
      <x:c r="W206" s="62">
        <x:f t="shared" si="171"/>
        <x:v>144286209.24999997</x:v>
      </x:c>
      <x:c r="Y206" s="44">
        <x:v>61</x:v>
      </x:c>
      <x:c r="Z206" s="58">
        <x:f t="shared" si="188"/>
        <x:v>47879</x:v>
      </x:c>
      <x:c r="AA206" s="88">
        <x:f t="shared" si="172"/>
        <x:v>7.8144665814179406E-3</x:v>
      </x:c>
      <x:c r="AB206" s="60">
        <x:f t="shared" si="173"/>
        <x:v>0.99218553341858207</x:v>
      </x:c>
      <x:c r="AC206" s="50">
        <x:f t="shared" si="174"/>
        <x:v>1772607758.2128429</x:v>
      </x:c>
      <x:c r="AD206" s="62">
        <x:f t="shared" si="175"/>
        <x:v>225064085411.34219</x:v>
      </x:c>
      <x:c r="AF206" s="44">
        <x:v>61</x:v>
      </x:c>
      <x:c r="AG206" s="58">
        <x:f t="shared" si="189"/>
        <x:v>47879</x:v>
      </x:c>
      <x:c r="AH206" s="88">
        <x:f t="shared" si="176"/>
        <x:v>4.3895805949182845E-5</x:v>
      </x:c>
      <x:c r="AI206" s="60">
        <x:f t="shared" si="177"/>
        <x:v>0.99995610419405079</x:v>
      </x:c>
      <x:c r="AJ206" s="50">
        <x:f t="shared" si="178"/>
        <x:v>1572279.4831868107</x:v>
      </x:c>
      <x:c r="AK206" s="62">
        <x:f t="shared" si="179"/>
        <x:v>35816872084.131012</x:v>
      </x:c>
      <x:c r="AM206" s="44">
        <x:v>61</x:v>
      </x:c>
      <x:c r="AN206" s="58">
        <x:f t="shared" si="190"/>
        <x:v>47879</x:v>
      </x:c>
      <x:c r="AO206" s="88">
        <x:f t="shared" si="180"/>
        <x:v>0.42489694287659541</x:v>
      </x:c>
      <x:c r="AP206" s="60">
        <x:f t="shared" si="181"/>
        <x:v>0.57510305712340459</x:v>
      </x:c>
      <x:c r="AQ206" s="50">
        <x:f t="shared" si="182"/>
        <x:v>216641682143.30225</x:v>
      </x:c>
      <x:c r="AR206" s="62">
        <x:f t="shared" si="183"/>
        <x:v>293227089038.28375</x:v>
      </x:c>
    </x:row>
    <x:row r="207">
      <x:c r="B207" s="44">
        <x:v>62</x:v>
      </x:c>
      <x:c r="C207" s="58">
        <x:f t="shared" si="184"/>
        <x:v>47907</x:v>
      </x:c>
      <x:c r="D207" s="88">
        <x:f t="shared" si="160"/>
        <x:v>1.5503162599523573E-9</x:v>
      </x:c>
      <x:c r="E207" s="60">
        <x:f t="shared" si="161"/>
        <x:v>0.99999999844968379</x:v>
      </x:c>
      <x:c r="F207" s="50">
        <x:f t="shared" si="162"/>
        <x:v>632.90621959126554</x:v>
      </x:c>
      <x:c r="G207" s="62">
        <x:f t="shared" si="163"/>
        <x:v>408243295229.00739</x:v>
      </x:c>
      <x:c r="J207" s="44">
        <x:f t="shared" si="185"/>
        <x:v>62</x:v>
      </x:c>
      <x:c r="K207" s="58">
        <x:f t="shared" si="186"/>
        <x:v>47907</x:v>
      </x:c>
      <x:c r="L207" s="88">
        <x:f t="shared" si="164"/>
        <x:v>7.7867273580098408E-23</x:v>
      </x:c>
      <x:c r="M207" s="60">
        <x:f t="shared" si="165"/>
        <x:v>1</x:v>
      </x:c>
      <x:c r="N207" s="50">
        <x:f t="shared" si="166"/>
        <x:v>8.374196897148732E-14</x:v>
      </x:c>
      <x:c r="O207" s="62">
        <x:f t="shared" si="167"/>
        <x:v>1075444986.3375001</x:v>
      </x:c>
      <x:c r="R207" s="44">
        <x:v>62</x:v>
      </x:c>
      <x:c r="S207" s="58">
        <x:f t="shared" si="187"/>
        <x:v>47907</x:v>
      </x:c>
      <x:c r="T207" s="88">
        <x:f t="shared" si="168"/>
        <x:v>7.0417998432466965E-17</x:v>
      </x:c>
      <x:c r="U207" s="60">
        <x:f t="shared" si="169"/>
        <x:v>0.99999999999999989</x:v>
      </x:c>
      <x:c r="V207" s="50">
        <x:f t="shared" si="170"/>
        <x:v>1.01603460567931E-8</x:v>
      </x:c>
      <x:c r="W207" s="62">
        <x:f t="shared" si="171"/>
        <x:v>144286209.25</x:v>
      </x:c>
      <x:c r="Y207" s="44">
        <x:v>62</x:v>
      </x:c>
      <x:c r="Z207" s="58">
        <x:f t="shared" si="188"/>
        <x:v>47907</x:v>
      </x:c>
      <x:c r="AA207" s="88">
        <x:f t="shared" si="172"/>
        <x:v>7.2169999859882112E-3</x:v>
      </x:c>
      <x:c r="AB207" s="60">
        <x:f t="shared" si="173"/>
        <x:v>0.99278300001401176</x:v>
      </x:c>
      <x:c r="AC207" s="50">
        <x:f t="shared" si="174"/>
        <x:v>1637080411.4262908</x:v>
      </x:c>
      <x:c r="AD207" s="62">
        <x:f t="shared" si="175"/>
        <x:v>225199612758.12872</x:v>
      </x:c>
      <x:c r="AF207" s="44">
        <x:v>62</x:v>
      </x:c>
      <x:c r="AG207" s="58">
        <x:f t="shared" si="189"/>
        <x:v>47907</x:v>
      </x:c>
      <x:c r="AH207" s="88">
        <x:f t="shared" si="176"/>
        <x:v>3.7238085025783104E-5</x:v>
      </x:c>
      <x:c r="AI207" s="60">
        <x:f t="shared" si="177"/>
        <x:v>0.99996276191497424</x:v>
      </x:c>
      <x:c r="AJ207" s="50">
        <x:f t="shared" si="178"/>
        <x:v>1333810.276703547</x:v>
      </x:c>
      <x:c r="AK207" s="62">
        <x:f t="shared" si="179"/>
        <x:v>35817110553.337494</x:v>
      </x:c>
      <x:c r="AM207" s="44">
        <x:v>62</x:v>
      </x:c>
      <x:c r="AN207" s="58">
        <x:f t="shared" si="190"/>
        <x:v>47907</x:v>
      </x:c>
      <x:c r="AO207" s="88">
        <x:f t="shared" si="180"/>
        <x:v>0.41897672238268063</x:v>
      </x:c>
      <x:c r="AP207" s="60">
        <x:f t="shared" si="181"/>
        <x:v>0.58102327761731942</x:v>
      </x:c>
      <x:c r="AQ207" s="50">
        <x:f t="shared" si="182"/>
        <x:v>213623146594.94586</x:v>
      </x:c>
      <x:c r="AR207" s="62">
        <x:f t="shared" si="183"/>
        <x:v>296245624586.64014</x:v>
      </x:c>
    </x:row>
    <x:row r="208">
      <x:c r="B208" s="44">
        <x:v>63</x:v>
      </x:c>
      <x:c r="C208" s="58">
        <x:f t="shared" si="184"/>
        <x:v>47938</x:v>
      </x:c>
      <x:c r="D208" s="88">
        <x:f t="shared" si="160"/>
        <x:v>1.1177130120485794E-9</x:v>
      </x:c>
      <x:c r="E208" s="60">
        <x:f t="shared" si="161"/>
        <x:v>0.99999999888228697</x:v>
      </x:c>
      <x:c r="F208" s="50">
        <x:f t="shared" si="162"/>
        <x:v>456.29884386645887</x:v>
      </x:c>
      <x:c r="G208" s="62">
        <x:f t="shared" si="163"/>
        <x:v>408243295405.61481</x:v>
      </x:c>
      <x:c r="J208" s="44">
        <x:f t="shared" si="185"/>
        <x:v>63</x:v>
      </x:c>
      <x:c r="K208" s="58">
        <x:f t="shared" si="186"/>
        <x:v>47938</x:v>
      </x:c>
      <x:c r="L208" s="88">
        <x:f t="shared" si="164"/>
        <x:v>3.4258151042881731E-23</x:v>
      </x:c>
      <x:c r="M208" s="60">
        <x:f t="shared" si="165"/>
        <x:v>1</x:v>
      </x:c>
      <x:c r="N208" s="50">
        <x:f t="shared" si="166"/>
        <x:v>3.6842756780259961E-14</x:v>
      </x:c>
      <x:c r="O208" s="62">
        <x:f t="shared" si="167"/>
        <x:v>1075444986.3375001</x:v>
      </x:c>
      <x:c r="R208" s="44">
        <x:v>63</x:v>
      </x:c>
      <x:c r="S208" s="58">
        <x:f t="shared" si="187"/>
        <x:v>47938</x:v>
      </x:c>
      <x:c r="T208" s="88">
        <x:f t="shared" si="168"/>
        <x:v>3.8651152252597448E-17</x:v>
      </x:c>
      <x:c r="U208" s="60">
        <x:f t="shared" si="169"/>
        <x:v>1</x:v>
      </x:c>
      <x:c r="V208" s="50">
        <x:f t="shared" si="170"/>
        <x:v>5.5768282416718843E-9</x:v>
      </x:c>
      <x:c r="W208" s="62">
        <x:f t="shared" si="171"/>
        <x:v>144286209.25</x:v>
      </x:c>
      <x:c r="Y208" s="44">
        <x:v>63</x:v>
      </x:c>
      <x:c r="Z208" s="58">
        <x:f t="shared" si="188"/>
        <x:v>47938</x:v>
      </x:c>
      <x:c r="AA208" s="88">
        <x:f t="shared" si="172"/>
        <x:v>6.6652135824097365E-3</x:v>
      </x:c>
      <x:c r="AB208" s="60">
        <x:f t="shared" si="173"/>
        <x:v>0.99333478641759021</x:v>
      </x:c>
      <x:c r="AC208" s="50">
        <x:f t="shared" si="174"/>
        <x:v>1511915008.302628</x:v>
      </x:c>
      <x:c r="AD208" s="62">
        <x:f t="shared" si="175"/>
        <x:v>225324778161.25238</x:v>
      </x:c>
      <x:c r="AF208" s="44">
        <x:v>63</x:v>
      </x:c>
      <x:c r="AG208" s="58">
        <x:f t="shared" si="189"/>
        <x:v>47938</x:v>
      </x:c>
      <x:c r="AH208" s="88">
        <x:f t="shared" si="176"/>
        <x:v>3.1590147313681254E-5</x:v>
      </x:c>
      <x:c r="AI208" s="60">
        <x:f t="shared" si="177"/>
        <x:v>0.99996840985268631</x:v>
      </x:c>
      <x:c r="AJ208" s="50">
        <x:f t="shared" si="178"/>
        <x:v>1131509.9339934685</x:v>
      </x:c>
      <x:c r="AK208" s="62">
        <x:f t="shared" si="179"/>
        <x:v>35817312853.680206</x:v>
      </x:c>
      <x:c r="AM208" s="44">
        <x:v>63</x:v>
      </x:c>
      <x:c r="AN208" s="58">
        <x:f t="shared" si="190"/>
        <x:v>47938</x:v>
      </x:c>
      <x:c r="AO208" s="88">
        <x:f t="shared" si="180"/>
        <x:v>0.41313899015158861</x:v>
      </x:c>
      <x:c r="AP208" s="60">
        <x:f t="shared" si="181"/>
        <x:v>0.58686100984841139</x:v>
      </x:c>
      <x:c r="AQ208" s="50">
        <x:f t="shared" si="182"/>
        <x:v>210646669235.79184</x:v>
      </x:c>
      <x:c r="AR208" s="62">
        <x:f t="shared" si="183"/>
        <x:v>299222101945.79419</x:v>
      </x:c>
    </x:row>
    <x:row r="209">
      <x:c r="B209" s="44">
        <x:v>64</x:v>
      </x:c>
      <x:c r="C209" s="58">
        <x:f t="shared" si="184"/>
        <x:v>47968</x:v>
      </x:c>
      <x:c r="D209" s="88">
        <x:f t="shared" si="160"/>
        <x:v>8.0582421121036257E-10</x:v>
      </x:c>
      <x:c r="E209" s="60">
        <x:f t="shared" si="161"/>
        <x:v>0.99999999919417581</x:v>
      </x:c>
      <x:c r="F209" s="50">
        <x:f t="shared" si="162"/>
        <x:v>328.97233186984522</x:v>
      </x:c>
      <x:c r="G209" s="62">
        <x:f t="shared" si="163"/>
        <x:v>408243295532.94128</x:v>
      </x:c>
      <x:c r="J209" s="44">
        <x:f t="shared" si="185"/>
        <x:v>64</x:v>
      </x:c>
      <x:c r="K209" s="58">
        <x:f t="shared" si="186"/>
        <x:v>47968</x:v>
      </x:c>
      <x:c r="L209" s="88">
        <x:f t="shared" si="164"/>
        <x:v>1.5072068905425863E-23</x:v>
      </x:c>
      <x:c r="M209" s="60">
        <x:f t="shared" si="165"/>
        <x:v>1</x:v>
      </x:c>
      <x:c r="N209" s="50">
        <x:f t="shared" si="166"/>
        <x:v>1.6209180938073577E-14</x:v>
      </x:c>
      <x:c r="O209" s="62">
        <x:f t="shared" si="167"/>
        <x:v>1075444986.3375001</x:v>
      </x:c>
      <x:c r="R209" s="44">
        <x:v>64</x:v>
      </x:c>
      <x:c r="S209" s="58">
        <x:f t="shared" si="187"/>
        <x:v>47968</x:v>
      </x:c>
      <x:c r="T209" s="88">
        <x:f t="shared" si="168"/>
        <x:v>2.1214911012930387E-17</x:v>
      </x:c>
      <x:c r="U209" s="60">
        <x:f t="shared" si="169"/>
        <x:v>1</x:v>
      </x:c>
      <x:c r="V209" s="50">
        <x:f t="shared" si="170"/>
        <x:v>3.0610190896318034E-9</x:v>
      </x:c>
      <x:c r="W209" s="62">
        <x:f t="shared" si="171"/>
        <x:v>144286209.25</x:v>
      </x:c>
      <x:c r="Y209" s="44">
        <x:v>64</x:v>
      </x:c>
      <x:c r="Z209" s="58">
        <x:f t="shared" si="188"/>
        <x:v>47968</x:v>
      </x:c>
      <x:c r="AA209" s="88">
        <x:f t="shared" si="172"/>
        <x:v>6.1556148240806997E-3</x:v>
      </x:c>
      <x:c r="AB209" s="60">
        <x:f t="shared" si="173"/>
        <x:v>0.99384438517591933</x:v>
      </x:c>
      <x:c r="AC209" s="50">
        <x:f t="shared" si="174"/>
        <x:v>1396319311.1199582</x:v>
      </x:c>
      <x:c r="AD209" s="62">
        <x:f t="shared" si="175"/>
        <x:v>225440373858.43506</x:v>
      </x:c>
      <x:c r="AF209" s="44">
        <x:v>64</x:v>
      </x:c>
      <x:c r="AG209" s="58">
        <x:f t="shared" si="189"/>
        <x:v>47968</x:v>
      </x:c>
      <x:c r="AH209" s="88">
        <x:f t="shared" si="176"/>
        <x:v>2.6798837980232486E-5</x:v>
      </x:c>
      <x:c r="AI209" s="60">
        <x:f t="shared" si="177"/>
        <x:v>0.99997320116201982</x:v>
      </x:c>
      <x:c r="AJ209" s="50">
        <x:f t="shared" si="178"/>
        <x:v>959892.68720446841</x:v>
      </x:c>
      <x:c r="AK209" s="62">
        <x:f t="shared" si="179"/>
        <x:v>35817484470.926994</x:v>
      </x:c>
      <x:c r="AM209" s="44">
        <x:v>64</x:v>
      </x:c>
      <x:c r="AN209" s="58">
        <x:f t="shared" si="190"/>
        <x:v>47968</x:v>
      </x:c>
      <x:c r="AO209" s="88">
        <x:f t="shared" si="180"/>
        <x:v>0.40738259684884592</x:v>
      </x:c>
      <x:c r="AP209" s="60">
        <x:f t="shared" si="181"/>
        <x:v>0.59261740315115408</x:v>
      </x:c>
      <x:c r="AQ209" s="50">
        <x:f t="shared" si="182"/>
        <x:v>207711664056.08453</x:v>
      </x:c>
      <x:c r="AR209" s="62">
        <x:f t="shared" si="183"/>
        <x:v>302157107125.50146</x:v>
      </x:c>
    </x:row>
    <x:row r="210">
      <x:c r="B210" s="44">
        <x:v>65</x:v>
      </x:c>
      <x:c r="C210" s="58">
        <x:f t="shared" si="184"/>
        <x:v>47999</x:v>
      </x:c>
      <x:c r="D210" s="88" t="n">
        <x:f t="shared" ref="D210:D245" si="191">MIN(1,EXP(B210*$H$4))</x:f>
        <x:v>5.809654646344764e-10</x:v>
      </x:c>
      <x:c r="E210" s="60" t="n">
        <x:f t="shared" ref="E210:E241" si="192">1-D210</x:f>
        <x:v>0.9999999994190345</x:v>
      </x:c>
      <x:c r="F210" s="50" t="n">
        <x:f t="shared" ref="F210:F245" si="193">D210*$C$139</x:f>
        <x:v>237.17525606432667</x:v>
      </x:c>
      <x:c r="G210" s="62" t="n">
        <x:f t="shared" ref="G210:G241" si="194">$C$139-F210</x:f>
        <x:v>408243295624.7384</x:v>
      </x:c>
      <x:c r="J210" s="44">
        <x:f t="shared" si="185"/>
        <x:v>65</x:v>
      </x:c>
      <x:c r="K210" s="58">
        <x:f t="shared" si="186"/>
        <x:v>47999</x:v>
      </x:c>
      <x:c r="L210" s="88" t="n">
        <x:f t="shared" ref="L210:L245" si="195">MIN(1,EXP(J210*$P$4))</x:f>
        <x:v>6.631042662096814e-24</x:v>
      </x:c>
      <x:c r="M210" s="60" t="n">
        <x:f t="shared" ref="M210:M241" si="196">1-L210</x:f>
        <x:v>1</x:v>
      </x:c>
      <x:c r="N210" s="50" t="n">
        <x:f t="shared" ref="N210:N245" si="197">L210*$K$139</x:f>
        <x:v>7.131321585142088e-15</x:v>
      </x:c>
      <x:c r="O210" s="62" t="n">
        <x:f t="shared" ref="O210:O241" si="198">$K$139-N210</x:f>
        <x:v>1075444986.3375</x:v>
      </x:c>
      <x:c r="R210" s="44">
        <x:v>65</x:v>
      </x:c>
      <x:c r="S210" s="58">
        <x:f t="shared" si="187"/>
        <x:v>47999</x:v>
      </x:c>
      <x:c r="T210" s="88" t="n">
        <x:f t="shared" ref="T210:T245" si="199">EXP(R210*$X$4)</x:f>
        <x:v>1.1644476892828187e-17</x:v>
      </x:c>
      <x:c r="U210" s="60" t="n">
        <x:f t="shared" ref="U210:U241" si="200">1-T210</x:f>
        <x:v>1</x:v>
      </x:c>
      <x:c r="V210" s="50" t="n">
        <x:f t="shared" ref="V210:V245" si="201">T210*$S$139</x:f>
        <x:v>1.6801374295653975e-9</x:v>
      </x:c>
      <x:c r="W210" s="62" t="n">
        <x:f t="shared" ref="W210:W241" si="202">$S$139-V210</x:f>
        <x:v>144286209.25</x:v>
      </x:c>
      <x:c r="Y210" s="44">
        <x:v>65</x:v>
      </x:c>
      <x:c r="Z210" s="58">
        <x:f t="shared" si="188"/>
        <x:v>47999</x:v>
      </x:c>
      <x:c r="AA210" s="88" t="n">
        <x:f t="shared" ref="AA210:AA245" si="203">MIN(1,EXP(Y210*$AE$4))</x:f>
        <x:v>0.005684978192213124</x:v>
      </x:c>
      <x:c r="AB210" s="60" t="n">
        <x:f t="shared" ref="AB210:AB241" si="204">1-AA210</x:f>
        <x:v>0.9943150218077869</x:v>
      </x:c>
      <x:c r="AC210" s="50" t="n">
        <x:f t="shared" ref="AC210:AC245" si="205">AA210*$Z$139</x:f>
        <x:v>1289561653.86266</x:v>
      </x:c>
      <x:c r="AD210" s="62" t="n">
        <x:f t="shared" ref="AD210:AD241" si="206">$Z$139-AC210</x:f>
        <x:v>225547131515.69235</x:v>
      </x:c>
      <x:c r="AF210" s="44">
        <x:v>65</x:v>
      </x:c>
      <x:c r="AG210" s="58">
        <x:f t="shared" si="189"/>
        <x:v>47999</x:v>
      </x:c>
      <x:c r="AH210" s="88" t="n">
        <x:f t="shared" ref="AH210:AH245" si="207">MIN(1,EXP(AF210*$AL$4))</x:f>
        <x:v>0.000022734231339900032</x:v>
      </x:c>
      <x:c r="AI210" s="60" t="n">
        <x:f t="shared" ref="AI210:AI241" si="208">1-AH210</x:f>
        <x:v>0.9999772657686601</x:v>
      </x:c>
      <x:c r="AJ210" s="50" t="n">
        <x:f t="shared" ref="AJ210:AJ245" si="209">AH210*$AG$139</x:f>
        <x:v>814304.8003977436</x:v>
      </x:c>
      <x:c r="AK210" s="62" t="n">
        <x:f t="shared" ref="AK210:AK241" si="210">$AG$139-AJ210</x:f>
        <x:v>35817630058.8138</x:v>
      </x:c>
      <x:c r="AM210" s="44">
        <x:v>65</x:v>
      </x:c>
      <x:c r="AN210" s="58">
        <x:f t="shared" si="190"/>
        <x:v>47999</x:v>
      </x:c>
      <x:c r="AO210" s="88" t="n">
        <x:f t="shared" ref="AO210:AO245" si="211">MIN(1,EXP(AM210*$AR$4))</x:f>
        <x:v>0.40170640915401185</x:v>
      </x:c>
      <x:c r="AP210" s="60" t="n">
        <x:f t="shared" ref="AP210:AP241" si="212">1-AO210</x:f>
        <x:v>0.5982935908459881</x:v>
      </x:c>
      <x:c r="AQ210" s="50" t="n">
        <x:f t="shared" ref="AQ210:AQ245" si="213">AO210*$AN$139</x:f>
        <x:v>204817553211.12344</x:v>
      </x:c>
      <x:c r="AR210" s="62" t="n">
        <x:f t="shared" ref="AR210:AR241" si="214">$AN$139-AQ210</x:f>
        <x:v>305051217970.4625</x:v>
      </x:c>
    </x:row>
    <x:row r="211">
      <x:c r="B211" s="44">
        <x:v>66</x:v>
      </x:c>
      <x:c r="C211" s="58" t="n">
        <x:f t="shared" ref="C211:C245" si="215">EOMONTH(C210,1)</x:f>
        <x:v>48029</x:v>
      </x:c>
      <x:c r="D211" s="88">
        <x:f t="shared" si="191"/>
        <x:v>4.1885173764013695E-10</x:v>
      </x:c>
      <x:c r="E211" s="60">
        <x:f t="shared" si="192"/>
        <x:v>0.99999999958114827</x:v>
      </x:c>
      <x:c r="F211" s="50">
        <x:f t="shared" si="193"/>
        <x:v>170.99341385169905</x:v>
      </x:c>
      <x:c r="G211" s="62">
        <x:f t="shared" si="194"/>
        <x:v>408243295690.92023</x:v>
      </x:c>
      <x:c r="J211" s="44" t="n">
        <x:f t="shared" ref="J211:J245" si="216">J210+1</x:f>
        <x:v>66</x:v>
      </x:c>
      <x:c r="K211" s="58" t="n">
        <x:f t="shared" ref="K211:K245" si="217">EOMONTH(K210,1)</x:f>
        <x:v>48029</x:v>
      </x:c>
      <x:c r="L211" s="88">
        <x:f t="shared" si="195"/>
        <x:v>2.9173650321303325E-24</x:v>
      </x:c>
      <x:c r="M211" s="60">
        <x:f t="shared" si="196"/>
        <x:v>1</x:v>
      </x:c>
      <x:c r="N211" s="50">
        <x:f t="shared" si="197"/>
        <x:v>3.1374655971209059E-15</x:v>
      </x:c>
      <x:c r="O211" s="62">
        <x:f t="shared" si="198"/>
        <x:v>1075444986.3375001</x:v>
      </x:c>
      <x:c r="R211" s="44">
        <x:v>66</x:v>
      </x:c>
      <x:c r="S211" s="58" t="n">
        <x:f t="shared" ref="S211:S245" si="218">EOMONTH(S210,1)</x:f>
        <x:v>48029</x:v>
      </x:c>
      <x:c r="T211" s="88">
        <x:f t="shared" si="199"/>
        <x:v>6.3914405309061497E-18</x:v>
      </x:c>
      <x:c r="U211" s="60">
        <x:f t="shared" si="200"/>
        <x:v>1</x:v>
      </x:c>
      <x:c r="V211" s="50">
        <x:f t="shared" si="201"/>
        <x:v>9.2219672585125578E-10</x:v>
      </x:c>
      <x:c r="W211" s="62">
        <x:f t="shared" si="202"/>
        <x:v>144286209.25</x:v>
      </x:c>
      <x:c r="Y211" s="44">
        <x:v>66</x:v>
      </x:c>
      <x:c r="Z211" s="58" t="n">
        <x:f t="shared" ref="Z211:Z245" si="219">EOMONTH(Z210,1)</x:f>
        <x:v>48029</x:v>
      </x:c>
      <x:c r="AA211" s="88">
        <x:f t="shared" si="203"/>
        <x:v>5.2503247798265902E-3</x:v>
      </x:c>
      <x:c r="AB211" s="60">
        <x:f t="shared" si="204"/>
        <x:v>0.99474967522017343</x:v>
      </x:c>
      <x:c r="AC211" s="50">
        <x:f t="shared" si="205"/>
        <x:v>1190966311.1220357</x:v>
      </x:c>
      <x:c r="AD211" s="62">
        <x:f t="shared" si="206"/>
        <x:v>225645726858.43298</x:v>
      </x:c>
      <x:c r="AF211" s="44">
        <x:v>66</x:v>
      </x:c>
      <x:c r="AG211" s="58" t="n">
        <x:f t="shared" ref="AG211:AG245" si="220">EOMONTH(AG210,1)</x:f>
        <x:v>48029</x:v>
      </x:c>
      <x:c r="AH211" s="88">
        <x:f t="shared" si="207"/>
        <x:v>1.9286107666210425E-5</x:v>
      </x:c>
      <x:c r="AI211" s="60">
        <x:f t="shared" si="208"/>
        <x:v>0.99998071389233378</x:v>
      </x:c>
      <x:c r="AJ211" s="50">
        <x:f t="shared" si="209"/>
        <x:v>690798.3744328313</x:v>
      </x:c>
      <x:c r="AK211" s="62">
        <x:f t="shared" si="210"/>
        <x:v>35817753565.239761</x:v>
      </x:c>
      <x:c r="AM211" s="44">
        <x:v>66</x:v>
      </x:c>
      <x:c r="AN211" s="58" t="n">
        <x:f t="shared" ref="AN211:AN245" si="221">EOMONTH(AN210,1)</x:f>
        <x:v>48029</x:v>
      </x:c>
      <x:c r="AO211" s="88">
        <x:f t="shared" si="211"/>
        <x:v>0.39610930953754986</x:v>
      </x:c>
      <x:c r="AP211" s="60">
        <x:f t="shared" si="212"/>
        <x:v>0.60389069046245014</x:v>
      </x:c>
      <x:c r="AQ211" s="50">
        <x:f t="shared" si="213"/>
        <x:v>201963766907.49704</x:v>
      </x:c>
      <x:c r="AR211" s="62">
        <x:f t="shared" si="214"/>
        <x:v>307905004274.08899</x:v>
      </x:c>
    </x:row>
    <x:row r="212">
      <x:c r="B212" s="44">
        <x:v>67</x:v>
      </x:c>
      <x:c r="C212" s="58">
        <x:f t="shared" si="215"/>
        <x:v>48060</x:v>
      </x:c>
      <x:c r="D212" s="88">
        <x:f t="shared" si="191"/>
        <x:v>3.0197453859764442E-10</x:v>
      </x:c>
      <x:c r="E212" s="60">
        <x:f t="shared" si="192"/>
        <x:v>0.99999999969802544</x:v>
      </x:c>
      <x:c r="F212" s="50">
        <x:f t="shared" si="193"/>
        <x:v>123.27908090348301</x:v>
      </x:c>
      <x:c r="G212" s="62">
        <x:f t="shared" si="194"/>
        <x:v>408243295738.63458</x:v>
      </x:c>
      <x:c r="J212" s="44">
        <x:f t="shared" si="216"/>
        <x:v>67</x:v>
      </x:c>
      <x:c r="K212" s="58">
        <x:f t="shared" si="217"/>
        <x:v>48060</x:v>
      </x:c>
      <x:c r="L212" s="88">
        <x:f t="shared" si="195"/>
        <x:v>1.2835113819046779E-24</x:v>
      </x:c>
      <x:c r="M212" s="60">
        <x:f t="shared" si="196"/>
        <x:v>1</x:v>
      </x:c>
      <x:c r="N212" s="50">
        <x:f t="shared" si="197"/>
        <x:v>1.3803458805765021E-15</x:v>
      </x:c>
      <x:c r="O212" s="62">
        <x:f t="shared" si="198"/>
        <x:v>1075444986.3375001</x:v>
      </x:c>
      <x:c r="R212" s="44">
        <x:v>67</x:v>
      </x:c>
      <x:c r="S212" s="58">
        <x:f t="shared" si="218"/>
        <x:v>48060</x:v>
      </x:c>
      <x:c r="T212" s="88">
        <x:f t="shared" si="199"/>
        <x:v>3.5081448858616703E-18</x:v>
      </x:c>
      <x:c r="U212" s="60">
        <x:f t="shared" si="200"/>
        <x:v>1</x:v>
      </x:c>
      <x:c r="V212" s="50">
        <x:f t="shared" si="201"/>
        <x:v>5.0617692708075428E-10</x:v>
      </x:c>
      <x:c r="W212" s="62">
        <x:f t="shared" si="202"/>
        <x:v>144286209.25</x:v>
      </x:c>
      <x:c r="Y212" s="44">
        <x:v>67</x:v>
      </x:c>
      <x:c r="Z212" s="58">
        <x:f t="shared" si="219"/>
        <x:v>48060</x:v>
      </x:c>
      <x:c r="AA212" s="88">
        <x:f t="shared" si="203"/>
        <x:v>4.8489034366779012E-3</x:v>
      </x:c>
      <x:c r="AB212" s="60">
        <x:f t="shared" si="204"/>
        <x:v>0.99515109656332212</x:v>
      </x:c>
      <x:c r="AC212" s="50">
        <x:f t="shared" si="205"/>
        <x:v>1099909221.074506</x:v>
      </x:c>
      <x:c r="AD212" s="62">
        <x:f t="shared" si="206"/>
        <x:v>225736783948.48053</x:v>
      </x:c>
      <x:c r="AF212" s="44">
        <x:v>67</x:v>
      </x:c>
      <x:c r="AG212" s="58">
        <x:f t="shared" si="220"/>
        <x:v>48060</x:v>
      </x:c>
      <x:c r="AH212" s="88">
        <x:f t="shared" si="207"/>
        <x:v>1.6360964369173875E-5</x:v>
      </x:c>
      <x:c r="AI212" s="60">
        <x:f t="shared" si="208"/>
        <x:v>0.99998363903563081</x:v>
      </x:c>
      <x:c r="AJ212" s="50">
        <x:f t="shared" si="209"/>
        <x:v>586024.29199232871</x:v>
      </x:c>
      <x:c r="AK212" s="62">
        <x:f t="shared" si="210"/>
        <x:v>35817858339.322205</x:v>
      </x:c>
      <x:c r="AM212" s="44">
        <x:v>67</x:v>
      </x:c>
      <x:c r="AN212" s="58">
        <x:f t="shared" si="221"/>
        <x:v>48060</x:v>
      </x:c>
      <x:c r="AO212" s="88">
        <x:f t="shared" si="211"/>
        <x:v>0.39059019604080786</x:v>
      </x:c>
      <x:c r="AP212" s="60">
        <x:f t="shared" si="212"/>
        <x:v>0.6094098039591922</x:v>
      </x:c>
      <x:c r="AQ212" s="50">
        <x:f t="shared" si="213"/>
        <x:v>199149743290.90149</x:v>
      </x:c>
      <x:c r="AR212" s="62">
        <x:f t="shared" si="214"/>
        <x:v>310719027890.68451</x:v>
      </x:c>
    </x:row>
    <x:row r="213">
      <x:c r="B213" s="44">
        <x:v>68</x:v>
      </x:c>
      <x:c r="C213" s="58">
        <x:f t="shared" si="215"/>
        <x:v>48091</x:v>
      </x:c>
      <x:c r="D213" s="88">
        <x:f t="shared" si="191"/>
        <x:v>2.1771097924776036E-10</x:v>
      </x:c>
      <x:c r="E213" s="60">
        <x:f t="shared" si="192"/>
        <x:v>0.99999999978228904</x:v>
      </x:c>
      <x:c r="F213" s="50">
        <x:f t="shared" si="193"/>
        <x:v>88.879047713430367</x:v>
      </x:c>
      <x:c r="G213" s="62">
        <x:f t="shared" si="194"/>
        <x:v>408243295773.03461</x:v>
      </x:c>
      <x:c r="J213" s="44">
        <x:f t="shared" si="216"/>
        <x:v>68</x:v>
      </x:c>
      <x:c r="K213" s="58">
        <x:f t="shared" si="217"/>
        <x:v>48091</x:v>
      </x:c>
      <x:c r="L213" s="88">
        <x:f t="shared" si="195"/>
        <x:v>5.6468815158036436E-25</x:v>
      </x:c>
      <x:c r="M213" s="60">
        <x:f t="shared" si="196"/>
        <x:v>1</x:v>
      </x:c>
      <x:c r="N213" s="50">
        <x:f t="shared" si="197"/>
        <x:v>6.072910414612931E-16</x:v>
      </x:c>
      <x:c r="O213" s="62">
        <x:f t="shared" si="198"/>
        <x:v>1075444986.3375001</x:v>
      </x:c>
      <x:c r="R213" s="44">
        <x:v>68</x:v>
      </x:c>
      <x:c r="S213" s="58">
        <x:f t="shared" si="218"/>
        <x:v>48091</x:v>
      </x:c>
      <x:c r="T213" s="88">
        <x:f t="shared" si="199"/>
        <x:v>1.9255566066344416E-18</x:v>
      </x:c>
      <x:c r="U213" s="60">
        <x:f t="shared" si="200"/>
        <x:v>1</x:v>
      </x:c>
      <x:c r="V213" s="50">
        <x:f t="shared" si="201"/>
        <x:v>2.77831263467577E-10</x:v>
      </x:c>
      <x:c r="W213" s="62">
        <x:f t="shared" si="202"/>
        <x:v>144286209.25</x:v>
      </x:c>
      <x:c r="Y213" s="44">
        <x:v>68</x:v>
      </x:c>
      <x:c r="Z213" s="58">
        <x:f t="shared" si="219"/>
        <x:v>48091</x:v>
      </x:c>
      <x:c r="AA213" s="88">
        <x:f t="shared" si="203"/>
        <x:v>4.4781733557830144E-3</x:v>
      </x:c>
      <x:c r="AB213" s="60">
        <x:f t="shared" si="204"/>
        <x:v>0.99552182664421696</x:v>
      </x:c>
      <x:c r="AC213" s="50">
        <x:f t="shared" si="205"/>
        <x:v>1015814035.4658282</x:v>
      </x:c>
      <x:c r="AD213" s="62">
        <x:f t="shared" si="206"/>
        <x:v>225820879134.0892</x:v>
      </x:c>
      <x:c r="AF213" s="44">
        <x:v>68</x:v>
      </x:c>
      <x:c r="AG213" s="58">
        <x:f t="shared" si="220"/>
        <x:v>48091</x:v>
      </x:c>
      <x:c r="AH213" s="88">
        <x:f t="shared" si="207"/>
        <x:v>1.3879480490423627E-5</x:v>
      </x:c>
      <x:c r="AI213" s="60">
        <x:f t="shared" si="208"/>
        <x:v>0.99998612051950952</x:v>
      </x:c>
      <x:c r="AJ213" s="50">
        <x:f t="shared" si="209"/>
        <x:v>497141.39974210737</x:v>
      </x:c>
      <x:c r="AK213" s="62">
        <x:f t="shared" si="210"/>
        <x:v>35817947222.214455</x:v>
      </x:c>
      <x:c r="AM213" s="44">
        <x:v>68</x:v>
      </x:c>
      <x:c r="AN213" s="58">
        <x:f t="shared" si="221"/>
        <x:v>48091</x:v>
      </x:c>
      <x:c r="AO213" s="88">
        <x:f t="shared" si="211"/>
        <x:v>0.38514798205906464</x:v>
      </x:c>
      <x:c r="AP213" s="60">
        <x:f t="shared" si="212"/>
        <x:v>0.61485201794093536</x:v>
      </x:c>
      <x:c r="AQ213" s="50">
        <x:f t="shared" si="213"/>
        <x:v>196374928335.52283</x:v>
      </x:c>
      <x:c r="AR213" s="62">
        <x:f t="shared" si="214"/>
        <x:v>313493842846.06317</x:v>
      </x:c>
    </x:row>
    <x:row r="214">
      <x:c r="B214" s="44">
        <x:v>69</x:v>
      </x:c>
      <x:c r="C214" s="58">
        <x:f t="shared" si="215"/>
        <x:v>48121</x:v>
      </x:c>
      <x:c r="D214" s="88">
        <x:f t="shared" si="191"/>
        <x:v>1.5696048648714941E-10</x:v>
      </x:c>
      <x:c r="E214" s="60">
        <x:f t="shared" si="192"/>
        <x:v>0.99999999984303956</x:v>
      </x:c>
      <x:c r="F214" s="50">
        <x:f t="shared" si="193"/>
        <x:v>64.078066323603238</x:v>
      </x:c>
      <x:c r="G214" s="62">
        <x:f t="shared" si="194"/>
        <x:v>408243295797.83557</x:v>
      </x:c>
      <x:c r="J214" s="44">
        <x:f t="shared" si="216"/>
        <x:v>69</x:v>
      </x:c>
      <x:c r="K214" s="58">
        <x:f t="shared" si="217"/>
        <x:v>48121</x:v>
      </x:c>
      <x:c r="L214" s="88">
        <x:f t="shared" si="195"/>
        <x:v>2.4843777237257712E-25</x:v>
      </x:c>
      <x:c r="M214" s="60">
        <x:f t="shared" si="196"/>
        <x:v>1</x:v>
      </x:c>
      <x:c r="N214" s="50">
        <x:f t="shared" si="197"/>
        <x:v>2.6718115671494517E-16</x:v>
      </x:c>
      <x:c r="O214" s="62">
        <x:f t="shared" si="198"/>
        <x:v>1075444986.3375001</x:v>
      </x:c>
      <x:c r="R214" s="44">
        <x:v>69</x:v>
      </x:c>
      <x:c r="S214" s="58">
        <x:f t="shared" si="218"/>
        <x:v>48121</x:v>
      </x:c>
      <x:c r="T214" s="88">
        <x:f t="shared" si="199"/>
        <x:v>1.0569028264187036E-18</x:v>
      </x:c>
      <x:c r="U214" s="60">
        <x:f t="shared" si="200"/>
        <x:v>1</x:v>
      </x:c>
      <x:c r="V214" s="50">
        <x:f t="shared" si="201"/>
        <x:v>1.5249650236956551E-10</x:v>
      </x:c>
      <x:c r="W214" s="62">
        <x:f t="shared" si="202"/>
        <x:v>144286209.25</x:v>
      </x:c>
      <x:c r="Y214" s="44">
        <x:v>69</x:v>
      </x:c>
      <x:c r="Z214" s="58">
        <x:f t="shared" si="219"/>
        <x:v>48121</x:v>
      </x:c>
      <x:c r="AA214" s="88">
        <x:f t="shared" si="203"/>
        <x:v>4.1357879913121965E-3</x:v>
      </x:c>
      <x:c r="AB214" s="60">
        <x:f t="shared" si="204"/>
        <x:v>0.9958642120086878</x:v>
      </x:c>
      <x:c r="AC214" s="50">
        <x:f t="shared" si="205"/>
        <x:v>938148471.59961498</x:v>
      </x:c>
      <x:c r="AD214" s="62">
        <x:f t="shared" si="206"/>
        <x:v>225898544697.95541</x:v>
      </x:c>
      <x:c r="AF214" s="44">
        <x:v>69</x:v>
      </x:c>
      <x:c r="AG214" s="58">
        <x:f t="shared" si="220"/>
        <x:v>48121</x:v>
      </x:c>
      <x:c r="AH214" s="88">
        <x:f t="shared" si="207"/>
        <x:v>1.1774365760921046E-5</x:v>
      </x:c>
      <x:c r="AI214" s="60">
        <x:f t="shared" si="208"/>
        <x:v>0.99998822563423906</x:v>
      </x:c>
      <x:c r="AJ214" s="50">
        <x:f t="shared" si="209"/>
        <x:v>421739.46492439444</x:v>
      </x:c>
      <x:c r="AK214" s="62">
        <x:f t="shared" si="210"/>
        <x:v>35818022624.149269</x:v>
      </x:c>
      <x:c r="AM214" s="44">
        <x:v>69</x:v>
      </x:c>
      <x:c r="AN214" s="58">
        <x:f t="shared" si="221"/>
        <x:v>48121</x:v>
      </x:c>
      <x:c r="AO214" s="88">
        <x:f t="shared" si="211"/>
        <x:v>0.37978159612759838</x:v>
      </x:c>
      <x:c r="AP214" s="60">
        <x:f t="shared" si="212"/>
        <x:v>0.62021840387240168</x:v>
      </x:c>
      <x:c r="AQ214" s="50">
        <x:f t="shared" si="213"/>
        <x:v>193638775734.95996</x:v>
      </x:c>
      <x:c r="AR214" s="62">
        <x:f t="shared" si="214"/>
        <x:v>316229995446.62604</x:v>
      </x:c>
    </x:row>
    <x:row r="215">
      <x:c r="B215" s="44">
        <x:v>70</x:v>
      </x:c>
      <x:c r="C215" s="58">
        <x:f t="shared" si="215"/>
        <x:v>48152</x:v>
      </x:c>
      <x:c r="D215" s="88">
        <x:f t="shared" si="191"/>
        <x:v>1.1316192873417548E-10</x:v>
      </x:c>
      <x:c r="E215" s="60">
        <x:f t="shared" si="192"/>
        <x:v>0.99999999988683808</x:v>
      </x:c>
      <x:c r="F215" s="50">
        <x:f t="shared" si="193"/>
        <x:v>46.197598752530787</x:v>
      </x:c>
      <x:c r="G215" s="62">
        <x:f t="shared" si="194"/>
        <x:v>408243295815.71606</x:v>
      </x:c>
      <x:c r="J215" s="44">
        <x:f t="shared" si="216"/>
        <x:v>70</x:v>
      </x:c>
      <x:c r="K215" s="58">
        <x:f t="shared" si="217"/>
        <x:v>48152</x:v>
      </x:c>
      <x:c r="L215" s="88">
        <x:f t="shared" si="195"/>
        <x:v>1.0930161464998348E-25</x:v>
      </x:c>
      <x:c r="M215" s="60">
        <x:f t="shared" si="196"/>
        <x:v>1</x:v>
      </x:c>
      <x:c r="N215" s="50">
        <x:f t="shared" si="197"/>
        <x:v>1.1754787347391818E-16</x:v>
      </x:c>
      <x:c r="O215" s="62">
        <x:f t="shared" si="198"/>
        <x:v>1075444986.3375001</x:v>
      </x:c>
      <x:c r="R215" s="44">
        <x:v>70</x:v>
      </x:c>
      <x:c r="S215" s="58">
        <x:f t="shared" si="218"/>
        <x:v>48152</x:v>
      </x:c>
      <x:c r="T215" s="88">
        <x:f t="shared" si="199"/>
        <x:v>5.801146435493589E-19</x:v>
      </x:c>
      <x:c r="U215" s="60">
        <x:f t="shared" si="200"/>
        <x:v>1</x:v>
      </x:c>
      <x:c r="V215" s="50">
        <x:f t="shared" si="201"/>
        <x:v>8.3702542848151954E-11</x:v>
      </x:c>
      <x:c r="W215" s="62">
        <x:f t="shared" si="202"/>
        <x:v>144286209.25</x:v>
      </x:c>
      <x:c r="Y215" s="44">
        <x:v>70</x:v>
      </x:c>
      <x:c r="Z215" s="58">
        <x:f t="shared" si="219"/>
        <x:v>48152</x:v>
      </x:c>
      <x:c r="AA215" s="88">
        <x:f t="shared" si="203"/>
        <x:v>3.8195802060662721E-3</x:v>
      </x:c>
      <x:c r="AB215" s="60">
        <x:f t="shared" si="204"/>
        <x:v>0.99618041979393368</x:v>
      </x:c>
      <x:c r="AC215" s="50">
        <x:f t="shared" si="205"/>
        <x:v>866420943.23996067</x:v>
      </x:c>
      <x:c r="AD215" s="62">
        <x:f t="shared" si="206"/>
        <x:v>225970272226.31506</x:v>
      </x:c>
      <x:c r="AF215" s="44">
        <x:v>70</x:v>
      </x:c>
      <x:c r="AG215" s="58">
        <x:f t="shared" si="220"/>
        <x:v>48152</x:v>
      </x:c>
      <x:c r="AH215" s="88">
        <x:f t="shared" si="207"/>
        <x:v>9.9885358942363723E-6</x:v>
      </x:c>
      <x:c r="AI215" s="60">
        <x:f t="shared" si="208"/>
        <x:v>0.99999001146410571</x:v>
      </x:c>
      <x:c r="AJ215" s="50">
        <x:f t="shared" si="209"/>
        <x:v>357773.81720166886</x:v>
      </x:c>
      <x:c r="AK215" s="62">
        <x:f t="shared" si="210"/>
        <x:v>35818086589.796997</x:v>
      </x:c>
      <x:c r="AM215" s="44">
        <x:v>70</x:v>
      </x:c>
      <x:c r="AN215" s="58">
        <x:f t="shared" si="221"/>
        <x:v>48152</x:v>
      </x:c>
      <x:c r="AO215" s="88">
        <x:f t="shared" si="211"/>
        <x:v>0.37448998171073666</x:v>
      </x:c>
      <x:c r="AP215" s="60">
        <x:f t="shared" si="212"/>
        <x:v>0.62551001828926334</x:v>
      </x:c>
      <x:c r="AQ215" s="50">
        <x:f t="shared" si="213"/>
        <x:v>190940746794.66791</x:v>
      </x:c>
      <x:c r="AR215" s="62">
        <x:f t="shared" si="214"/>
        <x:v>318928024386.91809</x:v>
      </x:c>
    </x:row>
    <x:row r="216">
      <x:c r="B216" s="44">
        <x:v>71</x:v>
      </x:c>
      <x:c r="C216" s="58">
        <x:f t="shared" si="215"/>
        <x:v>48182</x:v>
      </x:c>
      <x:c r="D216" s="88">
        <x:f t="shared" si="191"/>
        <x:v>8.1585005254727121E-11</x:v>
      </x:c>
      <x:c r="E216" s="60">
        <x:f t="shared" si="192"/>
        <x:v>0.99999999991841504</x:v>
      </x:c>
      <x:c r="F216" s="50">
        <x:f t="shared" si="193"/>
        <x:v>33.306531438101345</x:v>
      </x:c>
      <x:c r="G216" s="62">
        <x:f t="shared" si="194"/>
        <x:v>408243295828.60712</x:v>
      </x:c>
      <x:c r="J216" s="44">
        <x:f t="shared" si="216"/>
        <x:v>71</x:v>
      </x:c>
      <x:c r="K216" s="58">
        <x:f t="shared" si="217"/>
        <x:v>48182</x:v>
      </x:c>
      <x:c r="L216" s="88">
        <x:f t="shared" si="195"/>
        <x:v>4.808786864815841E-26</x:v>
      </x:c>
      <x:c r="M216" s="60">
        <x:f t="shared" si="196"/>
        <x:v>1</x:v>
      </x:c>
      <x:c r="N216" s="50">
        <x:f t="shared" si="197"/>
        <x:v>5.1715857241318223E-17</x:v>
      </x:c>
      <x:c r="O216" s="62">
        <x:f t="shared" si="198"/>
        <x:v>1075444986.3375001</x:v>
      </x:c>
      <x:c r="R216" s="44">
        <x:v>71</x:v>
      </x:c>
      <x:c r="S216" s="58">
        <x:f t="shared" si="218"/>
        <x:v>48182</x:v>
      </x:c>
      <x:c r="T216" s="88">
        <x:f t="shared" si="199"/>
        <x:v>3.1841432461746118E-19</x:v>
      </x:c>
      <x:c r="U216" s="60">
        <x:f t="shared" si="200"/>
        <x:v>1</x:v>
      </x:c>
      <x:c r="V216" s="50">
        <x:f t="shared" si="201"/>
        <x:v>4.5942795869952432E-11</x:v>
      </x:c>
      <x:c r="W216" s="62">
        <x:f t="shared" si="202"/>
        <x:v>144286209.25</x:v>
      </x:c>
      <x:c r="Y216" s="44">
        <x:v>71</x:v>
      </x:c>
      <x:c r="Z216" s="58">
        <x:f t="shared" si="219"/>
        <x:v>48182</x:v>
      </x:c>
      <x:c r="AA216" s="88">
        <x:f t="shared" si="203"/>
        <x:v>3.5275485545245341E-3</x:v>
      </x:c>
      <x:c r="AB216" s="60">
        <x:f t="shared" si="204"/>
        <x:v>0.99647245144547547</x:v>
      </x:c>
      <x:c r="AC216" s="50">
        <x:f t="shared" si="205"/>
        <x:v>800177449.10338902</x:v>
      </x:c>
      <x:c r="AD216" s="62">
        <x:f t="shared" si="206"/>
        <x:v>226036515720.45163</x:v>
      </x:c>
      <x:c r="AF216" s="44">
        <x:v>71</x:v>
      </x:c>
      <x:c r="AG216" s="58">
        <x:f t="shared" si="220"/>
        <x:v>48182</x:v>
      </x:c>
      <x:c r="AH216" s="88">
        <x:f t="shared" si="207"/>
        <x:v>8.47356463492806E-6</x:v>
      </x:c>
      <x:c r="AI216" s="60">
        <x:f t="shared" si="208"/>
        <x:v>0.99999152643536504</x:v>
      </x:c>
      <x:c r="AJ216" s="50">
        <x:f t="shared" si="209"/>
        <x:v>303509.90343765955</x:v>
      </x:c>
      <x:c r="AK216" s="62">
        <x:f t="shared" si="210"/>
        <x:v>35818140853.710762</x:v>
      </x:c>
      <x:c r="AM216" s="44">
        <x:v>71</x:v>
      </x:c>
      <x:c r="AN216" s="58">
        <x:f t="shared" si="221"/>
        <x:v>48182</x:v>
      </x:c>
      <x:c r="AO216" s="88">
        <x:f t="shared" si="211"/>
        <x:v>0.36927209699384528</x:v>
      </x:c>
      <x:c r="AP216" s="60">
        <x:f t="shared" si="212"/>
        <x:v>0.63072790300615478</x:v>
      </x:c>
      <x:c r="AQ216" s="50">
        <x:f t="shared" si="213"/>
        <x:v>188280310325.89932</x:v>
      </x:c>
      <x:c r="AR216" s="62">
        <x:f t="shared" si="214"/>
        <x:v>321588460855.68665</x:v>
      </x:c>
    </x:row>
    <x:row r="217">
      <x:c r="B217" s="44">
        <x:v>72</x:v>
      </x:c>
      <x:c r="C217" s="58">
        <x:f t="shared" si="215"/>
        <x:v>48213</x:v>
      </x:c>
      <x:c r="D217" s="88">
        <x:f t="shared" si="191"/>
        <x:v>5.881936758120729E-11</x:v>
      </x:c>
      <x:c r="E217" s="60">
        <x:f t="shared" si="192"/>
        <x:v>0.99999999994118061</x:v>
      </x:c>
      <x:c r="F217" s="50">
        <x:f t="shared" si="193"/>
        <x:v>24.01261248186546</x:v>
      </x:c>
      <x:c r="G217" s="62">
        <x:f t="shared" si="194"/>
        <x:v>408243295837.901</x:v>
      </x:c>
      <x:c r="J217" s="44">
        <x:f t="shared" si="216"/>
        <x:v>72</x:v>
      </x:c>
      <x:c r="K217" s="58">
        <x:f t="shared" si="217"/>
        <x:v>48213</x:v>
      </x:c>
      <x:c r="L217" s="88">
        <x:f t="shared" si="195"/>
        <x:v>2.1156532028622415E-26</x:v>
      </x:c>
      <x:c r="M217" s="60">
        <x:f t="shared" si="196"/>
        <x:v>1</x:v>
      </x:c>
      <x:c r="N217" s="50">
        <x:f t="shared" si="197"/>
        <x:v>2.2752686298470717E-17</x:v>
      </x:c>
      <x:c r="O217" s="62">
        <x:f t="shared" si="198"/>
        <x:v>1075444986.3375001</x:v>
      </x:c>
      <x:c r="R217" s="44">
        <x:v>72</x:v>
      </x:c>
      <x:c r="S217" s="58">
        <x:f t="shared" si="218"/>
        <x:v>48213</x:v>
      </x:c>
      <x:c r="T217" s="88">
        <x:f t="shared" si="199"/>
        <x:v>1.7477180286514763E-19</x:v>
      </x:c>
      <x:c r="U217" s="60">
        <x:f t="shared" si="200"/>
        <x:v>1</x:v>
      </x:c>
      <x:c r="V217" s="50">
        <x:f t="shared" si="201"/>
        <x:v>2.5217160919200443E-11</x:v>
      </x:c>
      <x:c r="W217" s="62">
        <x:f t="shared" si="202"/>
        <x:v>144286209.25</x:v>
      </x:c>
      <x:c r="Y217" s="44">
        <x:v>72</x:v>
      </x:c>
      <x:c r="Z217" s="58">
        <x:f t="shared" si="219"/>
        <x:v>48213</x:v>
      </x:c>
      <x:c r="AA217" s="88">
        <x:f t="shared" si="203"/>
        <x:v>3.2578446146425094E-3</x:v>
      </x:c>
      <x:c r="AB217" s="60">
        <x:f t="shared" si="204"/>
        <x:v>0.99674215538535749</x:v>
      </x:c>
      <x:c r="AC217" s="50">
        <x:f t="shared" si="205"/>
        <x:v>738998699.24575007</x:v>
      </x:c>
      <x:c r="AD217" s="62">
        <x:f t="shared" si="206"/>
        <x:v>226097694470.30927</x:v>
      </x:c>
      <x:c r="AF217" s="44">
        <x:v>72</x:v>
      </x:c>
      <x:c r="AG217" s="58">
        <x:f t="shared" si="220"/>
        <x:v>48213</x:v>
      </x:c>
      <x:c r="AH217" s="88">
        <x:f t="shared" si="207"/>
        <x:v>7.1883705862972979E-6</x:v>
      </x:c>
      <x:c r="AI217" s="60">
        <x:f t="shared" si="208"/>
        <x:v>0.99999281162941367</x:v>
      </x:c>
      <x:c r="AJ217" s="50">
        <x:f t="shared" si="209"/>
        <x:v>257476.25191033052</x:v>
      </x:c>
      <x:c r="AK217" s="62">
        <x:f t="shared" si="210"/>
        <x:v>35818186887.362289</x:v>
      </x:c>
      <x:c r="AM217" s="44">
        <x:v>72</x:v>
      </x:c>
      <x:c r="AN217" s="58">
        <x:f t="shared" si="221"/>
        <x:v>48213</x:v>
      </x:c>
      <x:c r="AO217" s="88">
        <x:f t="shared" si="211"/>
        <x:v>0.36412691467821545</x:v>
      </x:c>
      <x:c r="AP217" s="60">
        <x:f t="shared" si="212"/>
        <x:v>0.63587308532178455</x:v>
      </x:c>
      <x:c r="AQ217" s="50">
        <x:f t="shared" si="213"/>
        <x:v>185656942541.12393</x:v>
      </x:c>
      <x:c r="AR217" s="62">
        <x:f t="shared" si="214"/>
        <x:v>324211828640.46204</x:v>
      </x:c>
    </x:row>
    <x:row r="218">
      <x:c r="B218" s="44">
        <x:v>73</x:v>
      </x:c>
      <x:c r="C218" s="58">
        <x:f t="shared" si="215"/>
        <x:v>48244</x:v>
      </x:c>
      <x:c r="D218" s="88">
        <x:f t="shared" si="191"/>
        <x:v>4.2406297478944147E-11</x:v>
      </x:c>
      <x:c r="E218" s="60">
        <x:f t="shared" si="192"/>
        <x:v>0.9999999999575937</x:v>
      </x:c>
      <x:c r="F218" s="50">
        <x:f t="shared" si="193"/>
        <x:v>17.312086648104916</x:v>
      </x:c>
      <x:c r="G218" s="62">
        <x:f t="shared" si="194"/>
        <x:v>408243295844.60156</x:v>
      </x:c>
      <x:c r="J218" s="44">
        <x:f t="shared" si="216"/>
        <x:v>73</x:v>
      </x:c>
      <x:c r="K218" s="58">
        <x:f t="shared" si="217"/>
        <x:v>48244</x:v>
      </x:c>
      <x:c r="L218" s="88">
        <x:f t="shared" si="195"/>
        <x:v>9.3079369092659395E-27</x:v>
      </x:c>
      <x:c r="M218" s="60">
        <x:f t="shared" si="196"/>
        <x:v>1</x:v>
      </x:c>
      <x:c r="N218" s="50">
        <x:f t="shared" si="197"/>
        <x:v>1.0010174082215821E-17</x:v>
      </x:c>
      <x:c r="O218" s="62">
        <x:f t="shared" si="198"/>
        <x:v>1075444986.3375001</x:v>
      </x:c>
      <x:c r="R218" s="44">
        <x:v>73</x:v>
      </x:c>
      <x:c r="S218" s="58">
        <x:f t="shared" si="218"/>
        <x:v>48244</x:v>
      </x:c>
      <x:c r="T218" s="88">
        <x:f t="shared" si="199"/>
        <x:v>9.5929048146407461E-20</x:v>
      </x:c>
      <x:c r="U218" s="60">
        <x:f t="shared" si="200"/>
        <x:v>1</x:v>
      </x:c>
      <x:c r="V218" s="50">
        <x:f t="shared" si="201"/>
        <x:v>1.3841238714005871E-11</x:v>
      </x:c>
      <x:c r="W218" s="62">
        <x:f t="shared" si="202"/>
        <x:v>144286209.25</x:v>
      </x:c>
      <x:c r="Y218" s="44">
        <x:v>73</x:v>
      </x:c>
      <x:c r="Z218" s="58">
        <x:f t="shared" si="219"/>
        <x:v>48244</x:v>
      </x:c>
      <x:c r="AA218" s="88">
        <x:f t="shared" si="203"/>
        <x:v>3.0087612882158505E-3</x:v>
      </x:c>
      <x:c r="AB218" s="60">
        <x:f t="shared" si="204"/>
        <x:v>0.99699123871178419</x:v>
      </x:c>
      <x:c r="AC218" s="50">
        <x:f t="shared" si="205"/>
        <x:v>682497461.15545404</x:v>
      </x:c>
      <x:c r="AD218" s="62">
        <x:f t="shared" si="206"/>
        <x:v>226154195708.39957</x:v>
      </x:c>
      <x:c r="AF218" s="44">
        <x:v>73</x:v>
      </x:c>
      <x:c r="AG218" s="58">
        <x:f t="shared" si="220"/>
        <x:v>48244</x:v>
      </x:c>
      <x:c r="AH218" s="88">
        <x:f t="shared" si="207"/>
        <x:v>6.0981032082943277E-6</x:v>
      </x:c>
      <x:c r="AI218" s="60">
        <x:f t="shared" si="208"/>
        <x:v>0.99999390189679171</x:v>
      </x:c>
      <x:c r="AJ218" s="50">
        <x:f t="shared" si="209"/>
        <x:v>218424.57048986762</x:v>
      </x:c>
      <x:c r="AK218" s="62">
        <x:f t="shared" si="210"/>
        <x:v>35818225939.043709</x:v>
      </x:c>
      <x:c r="AM218" s="44">
        <x:v>73</x:v>
      </x:c>
      <x:c r="AN218" s="58">
        <x:f t="shared" si="221"/>
        <x:v>48244</x:v>
      </x:c>
      <x:c r="AO218" s="88">
        <x:f t="shared" si="211"/>
        <x:v>0.359053421778809</x:v>
      </x:c>
      <x:c r="AP218" s="60">
        <x:f t="shared" si="212"/>
        <x:v>0.64094657822119094</x:v>
      </x:c>
      <x:c r="AQ218" s="50">
        <x:f t="shared" si="213"/>
        <x:v>183070126950.90506</x:v>
      </x:c>
      <x:c r="AR218" s="62">
        <x:f t="shared" si="214"/>
        <x:v>326798644230.68091</x:v>
      </x:c>
    </x:row>
    <x:row r="219">
      <x:c r="B219" s="44">
        <x:v>74</x:v>
      </x:c>
      <x:c r="C219" s="58">
        <x:f t="shared" si="215"/>
        <x:v>48273</x:v>
      </x:c>
      <x:c r="D219" s="88">
        <x:f t="shared" si="191"/>
        <x:v>3.0573162205287927E-11</x:v>
      </x:c>
      <x:c r="E219" s="60">
        <x:f t="shared" si="192"/>
        <x:v>0.99999999996942679</x:v>
      </x:c>
      <x:c r="F219" s="50">
        <x:f t="shared" si="193"/>
        <x:v>12.481288503607635</x:v>
      </x:c>
      <x:c r="G219" s="62">
        <x:f t="shared" si="194"/>
        <x:v>408243295849.43237</x:v>
      </x:c>
      <x:c r="J219" s="44">
        <x:f t="shared" si="216"/>
        <x:v>74</x:v>
      </x:c>
      <x:c r="K219" s="58">
        <x:f t="shared" si="217"/>
        <x:v>48273</x:v>
      </x:c>
      <x:c r="L219" s="88">
        <x:f t="shared" si="195"/>
        <x:v>4.0950799209277164E-27</x:v>
      </x:c>
      <x:c r="M219" s="60">
        <x:f t="shared" si="196"/>
        <x:v>1</x:v>
      </x:c>
      <x:c r="N219" s="50">
        <x:f t="shared" si="197"/>
        <x:v>4.4040331696130787E-18</x:v>
      </x:c>
      <x:c r="O219" s="62">
        <x:f t="shared" si="198"/>
        <x:v>1075444986.3375001</x:v>
      </x:c>
      <x:c r="R219" s="44">
        <x:v>74</x:v>
      </x:c>
      <x:c r="S219" s="58">
        <x:f t="shared" si="218"/>
        <x:v>48273</x:v>
      </x:c>
      <x:c r="T219" s="88">
        <x:f t="shared" si="199"/>
        <x:v>5.2653701154391424E-20</x:v>
      </x:c>
      <x:c r="U219" s="60">
        <x:f t="shared" si="200"/>
        <x:v>1</x:v>
      </x:c>
      <x:c r="V219" s="50">
        <x:f t="shared" si="201"/>
        <x:v>7.5972029425494882E-12</x:v>
      </x:c>
      <x:c r="W219" s="62">
        <x:f t="shared" si="202"/>
        <x:v>144286209.25</x:v>
      </x:c>
      <x:c r="Y219" s="44">
        <x:v>74</x:v>
      </x:c>
      <x:c r="Z219" s="58">
        <x:f t="shared" si="219"/>
        <x:v>48273</x:v>
      </x:c>
      <x:c r="AA219" s="88">
        <x:f t="shared" si="203"/>
        <x:v>2.7787219957572081E-3</x:v>
      </x:c>
      <x:c r="AB219" s="60">
        <x:f t="shared" si="204"/>
        <x:v>0.99722127800424276</x:v>
      </x:c>
      <x:c r="AC219" s="50">
        <x:f t="shared" si="205"/>
        <x:v>630316108.7550714</x:v>
      </x:c>
      <x:c r="AD219" s="62">
        <x:f t="shared" si="206"/>
        <x:v>226206377060.79996</x:v>
      </x:c>
      <x:c r="AF219" s="44">
        <x:v>74</x:v>
      </x:c>
      <x:c r="AG219" s="58">
        <x:f t="shared" si="220"/>
        <x:v>48273</x:v>
      </x:c>
      <x:c r="AH219" s="88">
        <x:f t="shared" si="207"/>
        <x:v>5.17319777723986E-6</x:v>
      </x:c>
      <x:c r="AI219" s="60">
        <x:f t="shared" si="208"/>
        <x:v>0.99999482680222274</x:v>
      </x:c>
      <x:c r="AJ219" s="50">
        <x:f t="shared" si="209"/>
        <x:v>185295.89676603855</x:v>
      </x:c>
      <x:c r="AK219" s="62">
        <x:f t="shared" si="210"/>
        <x:v>35818259067.71743</x:v>
      </x:c>
      <x:c r="AM219" s="44">
        <x:v>74</x:v>
      </x:c>
      <x:c r="AN219" s="58">
        <x:f t="shared" si="221"/>
        <x:v>48273</x:v>
      </x:c>
      <x:c r="AO219" s="88">
        <x:f t="shared" si="211"/>
        <x:v>0.35405061942482152</x:v>
      </x:c>
      <x:c r="AP219" s="60">
        <x:f t="shared" si="212"/>
        <x:v>0.64594938057517848</x:v>
      </x:c>
      <x:c r="AQ219" s="50">
        <x:f t="shared" si="213"/>
        <x:v>180519354262.2131</x:v>
      </x:c>
      <x:c r="AR219" s="62">
        <x:f t="shared" si="214"/>
        <x:v>329349416919.37292</x:v>
      </x:c>
    </x:row>
    <x:row r="220">
      <x:c r="B220" s="44">
        <x:v>75</x:v>
      </x:c>
      <x:c r="C220" s="58">
        <x:f t="shared" si="215"/>
        <x:v>48304</x:v>
      </x:c>
      <x:c r="D220" s="88">
        <x:f t="shared" si="191"/>
        <x:v>2.2041967886844133E-11</x:v>
      </x:c>
      <x:c r="E220" s="60">
        <x:f t="shared" si="192"/>
        <x:v>0.99999999997795808</x:v>
      </x:c>
      <x:c r="F220" s="50">
        <x:f t="shared" si="193"/>
        <x:v>8.9984856174077077</x:v>
      </x:c>
      <x:c r="G220" s="62">
        <x:f t="shared" si="194"/>
        <x:v>408243295852.91516</x:v>
      </x:c>
      <x:c r="J220" s="44">
        <x:f t="shared" si="216"/>
        <x:v>75</x:v>
      </x:c>
      <x:c r="K220" s="58">
        <x:f t="shared" si="217"/>
        <x:v>48304</x:v>
      </x:c>
      <x:c r="L220" s="88">
        <x:f t="shared" si="195"/>
        <x:v>1.8016537630472354E-27</x:v>
      </x:c>
      <x:c r="M220" s="60">
        <x:f t="shared" si="196"/>
        <x:v>1</x:v>
      </x:c>
      <x:c r="N220" s="50">
        <x:f t="shared" si="197"/>
        <x:v>1.9375795065852398E-18</x:v>
      </x:c>
      <x:c r="O220" s="62">
        <x:f t="shared" si="198"/>
        <x:v>1075444986.3375001</x:v>
      </x:c>
      <x:c r="R220" s="44">
        <x:v>75</x:v>
      </x:c>
      <x:c r="S220" s="58">
        <x:f t="shared" si="218"/>
        <x:v>48304</x:v>
      </x:c>
      <x:c r="T220" s="88">
        <x:f t="shared" si="199"/>
        <x:v>2.8900654169159579E-20</x:v>
      </x:c>
      <x:c r="U220" s="60">
        <x:f t="shared" si="200"/>
        <x:v>1</x:v>
      </x:c>
      <x:c r="V220" s="50">
        <x:f t="shared" si="201"/>
        <x:v>4.1699658349132441E-12</x:v>
      </x:c>
      <x:c r="W220" s="62">
        <x:f t="shared" si="202"/>
        <x:v>144286209.25</x:v>
      </x:c>
      <x:c r="Y220" s="44">
        <x:v>75</x:v>
      </x:c>
      <x:c r="Z220" s="58">
        <x:f t="shared" si="219"/>
        <x:v>48304</x:v>
      </x:c>
      <x:c r="AA220" s="88">
        <x:f t="shared" si="203"/>
        <x:v>2.5662706974947588E-3</x:v>
      </x:c>
      <x:c r="AB220" s="60">
        <x:f t="shared" si="204"/>
        <x:v>0.99743372930250529</x:v>
      </x:c>
      <x:c r="AC220" s="50">
        <x:f t="shared" si="205"/>
        <x:v>582124358.79763854</x:v>
      </x:c>
      <x:c r="AD220" s="62">
        <x:f t="shared" si="206"/>
        <x:v>226254568810.75739</x:v>
      </x:c>
      <x:c r="AF220" s="44">
        <x:v>75</x:v>
      </x:c>
      <x:c r="AG220" s="58">
        <x:f t="shared" si="220"/>
        <x:v>48304</x:v>
      </x:c>
      <x:c r="AH220" s="88">
        <x:f t="shared" si="207"/>
        <x:v>4.3885736807535764E-6</x:v>
      </x:c>
      <x:c r="AI220" s="60">
        <x:f t="shared" si="208"/>
        <x:v>0.99999561142631921</x:v>
      </x:c>
      <x:c r="AJ220" s="50">
        <x:f t="shared" si="209"/>
        <x:v>157191.88221969354</x:v>
      </x:c>
      <x:c r="AK220" s="62">
        <x:f t="shared" si="210"/>
        <x:v>35818287171.731979</x:v>
      </x:c>
      <x:c r="AM220" s="44">
        <x:v>75</x:v>
      </x:c>
      <x:c r="AN220" s="58">
        <x:f t="shared" si="221"/>
        <x:v>48304</x:v>
      </x:c>
      <x:c r="AO220" s="88">
        <x:f t="shared" si="211"/>
        <x:v>0.34911752266302437</x:v>
      </x:c>
      <x:c r="AP220" s="60">
        <x:f t="shared" si="212"/>
        <x:v>0.65088247733697568</x:v>
      </x:c>
      <x:c r="AQ220" s="50">
        <x:f t="shared" si="213"/>
        <x:v>178004122278.15573</x:v>
      </x:c>
      <x:c r="AR220" s="62">
        <x:f t="shared" si="214"/>
        <x:v>331864648903.4303</x:v>
      </x:c>
    </x:row>
    <x:row r="221">
      <x:c r="B221" s="44">
        <x:v>76</x:v>
      </x:c>
      <x:c r="C221" s="58">
        <x:f t="shared" si="215"/>
        <x:v>48334</x:v>
      </x:c>
      <x:c r="D221" s="88">
        <x:f t="shared" si="191"/>
        <x:v>1.5891334532632538E-11</x:v>
      </x:c>
      <x:c r="E221" s="60">
        <x:f t="shared" si="192"/>
        <x:v>0.99999999998410871</x:v>
      </x:c>
      <x:c r="F221" s="50">
        <x:f t="shared" si="193"/>
        <x:v>6.4875307852461503</x:v>
      </x:c>
      <x:c r="G221" s="62">
        <x:f t="shared" si="194"/>
        <x:v>408243295855.42609</x:v>
      </x:c>
      <x:c r="J221" s="44">
        <x:f t="shared" si="216"/>
        <x:v>76</x:v>
      </x:c>
      <x:c r="K221" s="58">
        <x:f t="shared" si="217"/>
        <x:v>48334</x:v>
      </x:c>
      <x:c r="L221" s="88">
        <x:f t="shared" si="195"/>
        <x:v>7.9264784682563937E-28</x:v>
      </x:c>
      <x:c r="M221" s="60">
        <x:f t="shared" si="196"/>
        <x:v>1</x:v>
      </x:c>
      <x:c r="N221" s="50">
        <x:f t="shared" si="197"/>
        <x:v>8.5244915279984857E-19</x:v>
      </x:c>
      <x:c r="O221" s="62">
        <x:f t="shared" si="198"/>
        <x:v>1075444986.3375001</x:v>
      </x:c>
      <x:c r="R221" s="44">
        <x:v>76</x:v>
      </x:c>
      <x:c r="S221" s="58">
        <x:f t="shared" si="218"/>
        <x:v>48334</x:v>
      </x:c>
      <x:c r="T221" s="88">
        <x:f t="shared" si="199"/>
        <x:v>1.5863040832708748E-20</x:v>
      </x:c>
      <x:c r="U221" s="60">
        <x:f t="shared" si="200"/>
        <x:v>1</x:v>
      </x:c>
      <x:c r="V221" s="50">
        <x:f t="shared" si="201"/>
        <x:v>2.2888180289295086E-12</x:v>
      </x:c>
      <x:c r="W221" s="62">
        <x:f t="shared" si="202"/>
        <x:v>144286209.25</x:v>
      </x:c>
      <x:c r="Y221" s="44">
        <x:v>76</x:v>
      </x:c>
      <x:c r="Z221" s="58">
        <x:f t="shared" si="219"/>
        <x:v>48334</x:v>
      </x:c>
      <x:c r="AA221" s="88">
        <x:f t="shared" si="203"/>
        <x:v>2.3700626773300532E-3</x:v>
      </x:c>
      <x:c r="AB221" s="60">
        <x:f t="shared" si="204"/>
        <x:v>0.99762993732266991</x:v>
      </x:c>
      <x:c r="AC221" s="50">
        <x:f t="shared" si="205"/>
        <x:v>537617180.33013141</x:v>
      </x:c>
      <x:c r="AD221" s="62">
        <x:f t="shared" si="206"/>
        <x:v>226299075989.22488</x:v>
      </x:c>
      <x:c r="AF221" s="44">
        <x:v>76</x:v>
      </x:c>
      <x:c r="AG221" s="58">
        <x:f t="shared" si="220"/>
        <x:v>48334</x:v>
      </x:c>
      <x:c r="AH221" s="88">
        <x:f t="shared" si="207"/>
        <x:v>3.7229543080950727E-6</x:v>
      </x:c>
      <x:c r="AI221" s="60">
        <x:f t="shared" si="208"/>
        <x:v>0.99999627704569194</x:v>
      </x:c>
      <x:c r="AJ221" s="50">
        <x:f t="shared" si="209"/>
        <x:v>133350.43175278115</x:v>
      </x:c>
      <x:c r="AK221" s="62">
        <x:f t="shared" si="210"/>
        <x:v>35818311013.182442</x:v>
      </x:c>
      <x:c r="AM221" s="44">
        <x:v>76</x:v>
      </x:c>
      <x:c r="AN221" s="58">
        <x:f t="shared" si="221"/>
        <x:v>48334</x:v>
      </x:c>
      <x:c r="AO221" s="88">
        <x:f t="shared" si="211"/>
        <x:v>0.34425316026384689</x:v>
      </x:c>
      <x:c r="AP221" s="60">
        <x:f t="shared" si="212"/>
        <x:v>0.65574683973615311</x:v>
      </x:c>
      <x:c r="AQ221" s="50">
        <x:f t="shared" si="213"/>
        <x:v>175523935799.10519</x:v>
      </x:c>
      <x:c r="AR221" s="62">
        <x:f t="shared" si="214"/>
        <x:v>334344835382.48083</x:v>
      </x:c>
    </x:row>
    <x:row r="222">
      <x:c r="B222" s="44">
        <x:v>77</x:v>
      </x:c>
      <x:c r="C222" s="58">
        <x:f t="shared" si="215"/>
        <x:v>48365</x:v>
      </x:c>
      <x:c r="D222" s="88">
        <x:f t="shared" si="191"/>
        <x:v>1.1456985806551598E-11</x:v>
      </x:c>
      <x:c r="E222" s="60">
        <x:f t="shared" si="192"/>
        <x:v>0.99999999998854305</x:v>
      </x:c>
      <x:c r="F222" s="50">
        <x:f t="shared" si="193"/>
        <x:v>4.6772376463097896</x:v>
      </x:c>
      <x:c r="G222" s="62">
        <x:f t="shared" si="194"/>
        <x:v>408243295857.23639</x:v>
      </x:c>
      <x:c r="J222" s="44">
        <x:f t="shared" si="216"/>
        <x:v>77</x:v>
      </x:c>
      <x:c r="K222" s="58">
        <x:f t="shared" si="217"/>
        <x:v>48365</x:v>
      </x:c>
      <x:c r="L222" s="88">
        <x:f t="shared" si="195"/>
        <x:v>3.4872994021596277E-28</x:v>
      </x:c>
      <x:c r="M222" s="60">
        <x:f t="shared" si="196"/>
        <x:v>1</x:v>
      </x:c>
      <x:c r="N222" s="50">
        <x:f t="shared" si="197"/>
        <x:v>3.7503986579103329E-19</x:v>
      </x:c>
      <x:c r="O222" s="62">
        <x:f t="shared" si="198"/>
        <x:v>1075444986.3375001</x:v>
      </x:c>
      <x:c r="R222" s="44">
        <x:v>77</x:v>
      </x:c>
      <x:c r="S222" s="58">
        <x:f t="shared" si="218"/>
        <x:v>48365</x:v>
      </x:c>
      <x:c r="T222" s="88">
        <x:f t="shared" si="199"/>
        <x:v>8.7069331713851166E-21</x:v>
      </x:c>
      <x:c r="U222" s="60">
        <x:f t="shared" si="200"/>
        <x:v>1</x:v>
      </x:c>
      <x:c r="V222" s="50">
        <x:f t="shared" si="201"/>
        <x:v>1.256290381492239E-12</x:v>
      </x:c>
      <x:c r="W222" s="62">
        <x:f t="shared" si="202"/>
        <x:v>144286209.25</x:v>
      </x:c>
      <x:c r="Y222" s="44">
        <x:v>77</x:v>
      </x:c>
      <x:c r="Z222" s="58">
        <x:f t="shared" si="219"/>
        <x:v>48365</x:v>
      </x:c>
      <x:c r="AA222" s="88">
        <x:f t="shared" si="203"/>
        <x:v>2.1888560314219816E-3</x:v>
      </x:c>
      <x:c r="AB222" s="60">
        <x:f t="shared" si="204"/>
        <x:v>0.99781114396857806</x:v>
      </x:c>
      <x:c r="AC222" s="50">
        <x:f t="shared" si="205"/>
        <x:v>496512863.99199796</x:v>
      </x:c>
      <x:c r="AD222" s="62">
        <x:f t="shared" si="206"/>
        <x:v>226340180305.56302</x:v>
      </x:c>
      <x:c r="AF222" s="44">
        <x:v>77</x:v>
      </x:c>
      <x:c r="AG222" s="58">
        <x:f t="shared" si="220"/>
        <x:v>48365</x:v>
      </x:c>
      <x:c r="AH222" s="88">
        <x:f t="shared" si="207"/>
        <x:v>3.1582900934190652E-6</x:v>
      </x:c>
      <x:c r="AI222" s="60">
        <x:f t="shared" si="208"/>
        <x:v>0.99999684170990655</x:v>
      </x:c>
      <x:c r="AJ222" s="50">
        <x:f t="shared" si="209"/>
        <x:v>113125.03799528467</x:v>
      </x:c>
      <x:c r="AK222" s="62">
        <x:f t="shared" si="210"/>
        <x:v>35818331238.576202</x:v>
      </x:c>
      <x:c r="AM222" s="44">
        <x:v>77</x:v>
      </x:c>
      <x:c r="AN222" s="58">
        <x:f t="shared" si="221"/>
        <x:v>48365</x:v>
      </x:c>
      <x:c r="AO222" s="88">
        <x:f t="shared" si="211"/>
        <x:v>0.33945657453016026</x:v>
      </x:c>
      <x:c r="AP222" s="60">
        <x:f t="shared" si="212"/>
        <x:v>0.66054342546983968</x:v>
      </x:c>
      <x:c r="AQ222" s="50">
        <x:f t="shared" si="213"/>
        <x:v>173078306525.20328</x:v>
      </x:c>
      <x:c r="AR222" s="62">
        <x:f t="shared" si="214"/>
        <x:v>336790464656.38269</x:v>
      </x:c>
    </x:row>
    <x:row r="223">
      <x:c r="B223" s="44">
        <x:v>78</x:v>
      </x:c>
      <x:c r="C223" s="58">
        <x:f t="shared" si="215"/>
        <x:v>48395</x:v>
      </x:c>
      <x:c r="D223" s="88">
        <x:f t="shared" si="191"/>
        <x:v>8.2600063262138136E-12</x:v>
      </x:c>
      <x:c r="E223" s="60">
        <x:f t="shared" si="192"/>
        <x:v>0.99999999999173994</x:v>
      </x:c>
      <x:c r="F223" s="50">
        <x:f t="shared" si="193"/>
        <x:v>3.3720922064537842</x:v>
      </x:c>
      <x:c r="G223" s="62">
        <x:f t="shared" si="194"/>
        <x:v>408243295858.54156</x:v>
      </x:c>
      <x:c r="J223" s="44">
        <x:f t="shared" si="216"/>
        <x:v>78</x:v>
      </x:c>
      <x:c r="K223" s="58">
        <x:f t="shared" si="217"/>
        <x:v>48395</x:v>
      </x:c>
      <x:c r="L223" s="88">
        <x:f t="shared" si="195"/>
        <x:v>1.5342572579999749E-28</x:v>
      </x:c>
      <x:c r="M223" s="60">
        <x:f t="shared" si="196"/>
        <x:v>1</x:v>
      </x:c>
      <x:c r="N223" s="50">
        <x:f t="shared" si="197"/>
        <x:v>1.6500092758679933E-19</x:v>
      </x:c>
      <x:c r="O223" s="62">
        <x:f t="shared" si="198"/>
        <x:v>1075444986.3375001</x:v>
      </x:c>
      <x:c r="R223" s="44">
        <x:v>78</x:v>
      </x:c>
      <x:c r="S223" s="58">
        <x:f t="shared" si="218"/>
        <x:v>48395</x:v>
      </x:c>
      <x:c r="T223" s="88">
        <x:f t="shared" si="199"/>
        <x:v>4.779076474079888E-21</x:v>
      </x:c>
      <x:c r="U223" s="60">
        <x:f t="shared" si="200"/>
        <x:v>1</x:v>
      </x:c>
      <x:c r="V223" s="50">
        <x:f t="shared" si="201"/>
        <x:v>6.895548281608429E-13</x:v>
      </x:c>
      <x:c r="W223" s="62">
        <x:f t="shared" si="202"/>
        <x:v>144286209.25</x:v>
      </x:c>
      <x:c r="Y223" s="44">
        <x:v>78</x:v>
      </x:c>
      <x:c r="Z223" s="58">
        <x:f t="shared" si="219"/>
        <x:v>48395</x:v>
      </x:c>
      <x:c r="AA223" s="88">
        <x:f t="shared" si="203"/>
        <x:v>2.0215038075236456E-3</x:v>
      </x:c>
      <x:c r="AB223" s="60">
        <x:f t="shared" si="204"/>
        <x:v>0.99797849619247636</x:v>
      </x:c>
      <x:c r="AC223" s="50">
        <x:f t="shared" si="205"/>
        <x:v>458551238.92832839</x:v>
      </x:c>
      <x:c r="AD223" s="62">
        <x:f t="shared" si="206"/>
        <x:v>226378141930.62671</x:v>
      </x:c>
      <x:c r="AF223" s="44">
        <x:v>78</x:v>
      </x:c>
      <x:c r="AG223" s="58">
        <x:f t="shared" si="220"/>
        <x:v>48395</x:v>
      </x:c>
      <x:c r="AH223" s="88">
        <x:f t="shared" si="207"/>
        <x:v>2.6792690666388595E-6</x:v>
      </x:c>
      <x:c r="AI223" s="60">
        <x:f t="shared" si="208"/>
        <x:v>0.99999732073093339</x:v>
      </x:c>
      <x:c r="AJ223" s="50">
        <x:f t="shared" si="209"/>
        <x:v>95967.249998556523</x:v>
      </x:c>
      <x:c r="AK223" s="62">
        <x:f t="shared" si="210"/>
        <x:v>35818348396.364197</x:v>
      </x:c>
      <x:c r="AM223" s="44">
        <x:v>78</x:v>
      </x:c>
      <x:c r="AN223" s="58">
        <x:f t="shared" si="221"/>
        <x:v>48395</x:v>
      </x:c>
      <x:c r="AO223" s="88">
        <x:f t="shared" si="211"/>
        <x:v>0.33472682110872598</x:v>
      </x:c>
      <x:c r="AP223" s="60">
        <x:f t="shared" si="212"/>
        <x:v>0.66527317889127402</x:v>
      </x:c>
      <x:c r="AQ223" s="50">
        <x:f t="shared" si="213"/>
        <x:v>170666752960.22467</x:v>
      </x:c>
      <x:c r="AR223" s="62">
        <x:f t="shared" si="214"/>
        <x:v>339202018221.36133</x:v>
      </x:c>
    </x:row>
    <x:row r="224">
      <x:c r="B224" s="44">
        <x:v>79</x:v>
      </x:c>
      <x:c r="C224" s="58">
        <x:f t="shared" si="215"/>
        <x:v>48426</x:v>
      </x:c>
      <x:c r="D224" s="88">
        <x:f t="shared" si="191"/>
        <x:v>5.9551181838836418E-12</x:v>
      </x:c>
      <x:c r="E224" s="60">
        <x:f t="shared" si="192"/>
        <x:v>0.99999999999404487</x:v>
      </x:c>
      <x:c r="F224" s="50">
        <x:f t="shared" si="193"/>
        <x:v>2.4311370746358714</x:v>
      </x:c>
      <x:c r="G224" s="62">
        <x:f t="shared" si="194"/>
        <x:v>408243295859.48248</x:v>
      </x:c>
      <x:c r="J224" s="44">
        <x:f t="shared" si="216"/>
        <x:v>79</x:v>
      </x:c>
      <x:c r="K224" s="58">
        <x:f t="shared" si="217"/>
        <x:v>48426</x:v>
      </x:c>
      <x:c r="L224" s="88">
        <x:f t="shared" si="195"/>
        <x:v>6.7500522962490922E-29</x:v>
      </x:c>
      <x:c r="M224" s="60">
        <x:f t="shared" si="196"/>
        <x:v>1</x:v>
      </x:c>
      <x:c r="N224" s="50">
        <x:f t="shared" si="197"/>
        <x:v>7.2593098995170155E-20</x:v>
      </x:c>
      <x:c r="O224" s="62">
        <x:f t="shared" si="198"/>
        <x:v>1075444986.3375001</x:v>
      </x:c>
      <x:c r="R224" s="44">
        <x:v>79</x:v>
      </x:c>
      <x:c r="S224" s="58">
        <x:f t="shared" si="218"/>
        <x:v>48426</x:v>
      </x:c>
      <x:c r="T224" s="88">
        <x:f t="shared" si="199"/>
        <x:v>2.6231477255579215E-21</x:v>
      </x:c>
      <x:c r="U224" s="60">
        <x:f t="shared" si="200"/>
        <x:v>1</x:v>
      </x:c>
      <x:c r="V224" s="50">
        <x:f t="shared" si="201"/>
        <x:v>3.7848404162351184E-13</x:v>
      </x:c>
      <x:c r="W224" s="62">
        <x:f t="shared" si="202"/>
        <x:v>144286209.25</x:v>
      </x:c>
      <x:c r="Y224" s="44">
        <x:v>79</x:v>
      </x:c>
      <x:c r="Z224" s="58">
        <x:f t="shared" si="219"/>
        <x:v>48426</x:v>
      </x:c>
      <x:c r="AA224" s="88">
        <x:f t="shared" si="203"/>
        <x:v>1.8669467453178417E-3</x:v>
      </x:c>
      <x:c r="AB224" s="60">
        <x:f t="shared" si="204"/>
        <x:v>0.99813305325468216</x:v>
      </x:c>
      <x:c r="AC224" s="50">
        <x:f t="shared" si="205"/>
        <x:v>423492026.03156263</x:v>
      </x:c>
      <x:c r="AD224" s="62">
        <x:f t="shared" si="206"/>
        <x:v>226413201143.52347</x:v>
      </x:c>
      <x:c r="AF224" s="44">
        <x:v>79</x:v>
      </x:c>
      <x:c r="AG224" s="58">
        <x:f t="shared" si="220"/>
        <x:v>48426</x:v>
      </x:c>
      <x:c r="AH224" s="88">
        <x:f t="shared" si="207"/>
        <x:v>2.2729016395313662E-6</x:v>
      </x:c>
      <x:c r="AI224" s="60">
        <x:f t="shared" si="208"/>
        <x:v>0.99999772709836043</x:v>
      </x:c>
      <x:c r="AJ224" s="50">
        <x:f t="shared" si="209"/>
        <x:v>81411.800919521731</x:v>
      </x:c>
      <x:c r="AK224" s="62">
        <x:f t="shared" si="210"/>
        <x:v>35818362951.813278</x:v>
      </x:c>
      <x:c r="AM224" s="44">
        <x:v>79</x:v>
      </x:c>
      <x:c r="AN224" s="58">
        <x:f t="shared" si="221"/>
        <x:v>48426</x:v>
      </x:c>
      <x:c r="AO224" s="88">
        <x:f t="shared" si="211"/>
        <x:v>0.33006296880427116</x:v>
      </x:c>
      <x:c r="AP224" s="60">
        <x:f t="shared" si="212"/>
        <x:v>0.66993703119572889</x:v>
      </x:c>
      <x:c r="AQ224" s="50">
        <x:f t="shared" si="213"/>
        <x:v>168288800316.77988</x:v>
      </x:c>
      <x:c r="AR224" s="62">
        <x:f t="shared" si="214"/>
        <x:v>341579970864.80615</x:v>
      </x:c>
    </x:row>
    <x:row r="225">
      <x:c r="B225" s="44">
        <x:v>80</x:v>
      </x:c>
      <x:c r="C225" s="58">
        <x:f t="shared" si="215"/>
        <x:v>48457</x:v>
      </x:c>
      <x:c r="D225" s="88">
        <x:f t="shared" si="191"/>
        <x:v>4.2933904870599763E-12</x:v>
      </x:c>
      <x:c r="E225" s="60">
        <x:f t="shared" si="192"/>
        <x:v>0.99999999999570666</x:v>
      </x:c>
      <x:c r="F225" s="50">
        <x:f t="shared" si="193"/>
        <x:v>1.7527478828595513</x:v>
      </x:c>
      <x:c r="G225" s="62">
        <x:f t="shared" si="194"/>
        <x:v>408243295860.16089</x:v>
      </x:c>
      <x:c r="J225" s="44">
        <x:f t="shared" si="216"/>
        <x:v>80</x:v>
      </x:c>
      <x:c r="K225" s="58">
        <x:f t="shared" si="217"/>
        <x:v>48457</x:v>
      </x:c>
      <x:c r="L225" s="88">
        <x:f t="shared" si="195"/>
        <x:v>2.9697239993176576E-29</x:v>
      </x:c>
      <x:c r="M225" s="60">
        <x:f t="shared" si="196"/>
        <x:v>1</x:v>
      </x:c>
      <x:c r="N225" s="50">
        <x:f t="shared" si="197"/>
        <x:v>3.1937747858723245E-20</x:v>
      </x:c>
      <x:c r="O225" s="62">
        <x:f t="shared" si="198"/>
        <x:v>1075444986.3375001</x:v>
      </x:c>
      <x:c r="R225" s="44">
        <x:v>80</x:v>
      </x:c>
      <x:c r="S225" s="58">
        <x:f t="shared" si="218"/>
        <x:v>48457</x:v>
      </x:c>
      <x:c r="T225" s="88">
        <x:f t="shared" si="199"/>
        <x:v>1.4397978411560201E-21</x:v>
      </x:c>
      <x:c r="U225" s="60">
        <x:f t="shared" si="200"/>
        <x:v>1</x:v>
      </x:c>
      <x:c r="V225" s="50">
        <x:f t="shared" si="201"/>
        <x:v>2.0774297258673578E-13</x:v>
      </x:c>
      <x:c r="W225" s="62">
        <x:f t="shared" si="202"/>
        <x:v>144286209.25</x:v>
      </x:c>
      <x:c r="Y225" s="44">
        <x:v>80</x:v>
      </x:c>
      <x:c r="Z225" s="58">
        <x:f t="shared" si="219"/>
        <x:v>48457</x:v>
      </x:c>
      <x:c r="AA225" s="88">
        <x:f t="shared" si="203"/>
        <x:v>1.724206571800935E-3</x:v>
      </x:c>
      <x:c r="AB225" s="60">
        <x:f t="shared" si="204"/>
        <x:v>0.99827579342819905</x:v>
      </x:c>
      <x:c r="AC225" s="50">
        <x:f t="shared" si="205"/>
        <x:v>391113317.088539</x:v>
      </x:c>
      <x:c r="AD225" s="62">
        <x:f t="shared" si="206"/>
        <x:v>226445579852.46649</x:v>
      </x:c>
      <x:c r="AF225" s="44">
        <x:v>80</x:v>
      </x:c>
      <x:c r="AG225" s="58">
        <x:f t="shared" si="220"/>
        <x:v>48457</x:v>
      </x:c>
      <x:c r="AH225" s="88">
        <x:f t="shared" si="207"/>
        <x:v>1.9281683677500961E-6</x:v>
      </x:c>
      <x:c r="AI225" s="60">
        <x:f t="shared" si="208"/>
        <x:v>0.99999807183163225</x:v>
      </x:c>
      <x:c r="AJ225" s="50">
        <x:f t="shared" si="209"/>
        <x:v>69063.991403937616</x:v>
      </x:c>
      <x:c r="AK225" s="62">
        <x:f t="shared" si="210"/>
        <x:v>35818375299.622795</x:v>
      </x:c>
      <x:c r="AM225" s="44">
        <x:v>80</x:v>
      </x:c>
      <x:c r="AN225" s="58">
        <x:f t="shared" si="221"/>
        <x:v>48457</x:v>
      </x:c>
      <x:c r="AO225" s="88">
        <x:f t="shared" si="211"/>
        <x:v>0.32546409939615467</x:v>
      </x:c>
      <x:c r="AP225" s="60">
        <x:f t="shared" si="212"/>
        <x:v>0.67453590060384538</x:v>
      </x:c>
      <x:c r="AQ225" s="50">
        <x:f t="shared" si="213"/>
        <x:v>165943980422.83896</x:v>
      </x:c>
      <x:c r="AR225" s="62">
        <x:f t="shared" si="214"/>
        <x:v>343924790758.74707</x:v>
      </x:c>
    </x:row>
    <x:row r="226">
      <x:c r="B226" s="44">
        <x:v>81</x:v>
      </x:c>
      <x:c r="C226" s="58">
        <x:f t="shared" si="215"/>
        <x:v>48487</x:v>
      </x:c>
      <x:c r="D226" s="88">
        <x:f t="shared" si="191"/>
        <x:v>3.0953545009842019E-12</x:v>
      </x:c>
      <x:c r="E226" s="60">
        <x:f t="shared" si="192"/>
        <x:v>0.9999999999969047</x:v>
      </x:c>
      <x:c r="F226" s="50">
        <x:f t="shared" si="193"/>
        <x:v>1.2636577233427995</x:v>
      </x:c>
      <x:c r="G226" s="62">
        <x:f t="shared" si="194"/>
        <x:v>408243295860.64996</x:v>
      </x:c>
      <x:c r="J226" s="44">
        <x:f t="shared" si="216"/>
        <x:v>81</x:v>
      </x:c>
      <x:c r="K226" s="58">
        <x:f t="shared" si="217"/>
        <x:v>48487</x:v>
      </x:c>
      <x:c r="L226" s="88">
        <x:f t="shared" si="195"/>
        <x:v>1.3065470080911819E-29</x:v>
      </x:c>
      <x:c r="M226" s="60">
        <x:f t="shared" si="196"/>
        <x:v>1</x:v>
      </x:c>
      <x:c r="N226" s="50">
        <x:f t="shared" si="197"/>
        <x:v>1.4051194292659226E-20</x:v>
      </x:c>
      <x:c r="O226" s="62">
        <x:f t="shared" si="198"/>
        <x:v>1075444986.3375001</x:v>
      </x:c>
      <x:c r="R226" s="44">
        <x:v>81</x:v>
      </x:c>
      <x:c r="S226" s="58">
        <x:f t="shared" si="218"/>
        <x:v>48487</x:v>
      </x:c>
      <x:c r="T226" s="88">
        <x:f t="shared" si="199"/>
        <x:v>7.9027871865531612E-22</x:v>
      </x:c>
      <x:c r="U226" s="60">
        <x:f t="shared" si="200"/>
        <x:v>1</x:v>
      </x:c>
      <x:c r="V226" s="50">
        <x:f t="shared" si="201"/>
        <x:v>1.1402632056572283E-13</x:v>
      </x:c>
      <x:c r="W226" s="62">
        <x:f t="shared" si="202"/>
        <x:v>144286209.25</x:v>
      </x:c>
      <x:c r="Y226" s="44">
        <x:v>81</x:v>
      </x:c>
      <x:c r="Z226" s="58">
        <x:f t="shared" si="219"/>
        <x:v>48487</x:v>
      </x:c>
      <x:c r="AA226" s="88">
        <x:f t="shared" si="203"/>
        <x:v>1.5923798092780672E-3</x:v>
      </x:c>
      <x:c r="AB226" s="60">
        <x:f t="shared" si="204"/>
        <x:v>0.99840762019072193</x:v>
      </x:c>
      <x:c r="AC226" s="50">
        <x:f t="shared" si="205"/>
        <x:v>361210170.20660347</x:v>
      </x:c>
      <x:c r="AD226" s="62">
        <x:f t="shared" si="206"/>
        <x:v>226475482999.34842</x:v>
      </x:c>
      <x:c r="AF226" s="44">
        <x:v>81</x:v>
      </x:c>
      <x:c r="AG226" s="58">
        <x:f t="shared" si="220"/>
        <x:v>48487</x:v>
      </x:c>
      <x:c r="AH226" s="88">
        <x:f t="shared" si="207"/>
        <x:v>1.6357211371270003E-6</x:v>
      </x:c>
      <x:c r="AI226" s="60">
        <x:f t="shared" si="208"/>
        <x:v>0.99999836427886291</x:v>
      </x:c>
      <x:c r="AJ226" s="50">
        <x:f t="shared" si="209"/>
        <x:v>58588.986544571206</x:v>
      </x:c>
      <x:c r="AK226" s="62">
        <x:f t="shared" si="210"/>
        <x:v>35818385774.627655</x:v>
      </x:c>
      <x:c r="AM226" s="44">
        <x:v>81</x:v>
      </x:c>
      <x:c r="AN226" s="58">
        <x:f t="shared" si="221"/>
        <x:v>48487</x:v>
      </x:c>
      <x:c r="AO226" s="88">
        <x:f t="shared" si="211"/>
        <x:v>0.32092930745758752</x:v>
      </x:c>
      <x:c r="AP226" s="60">
        <x:f t="shared" si="212"/>
        <x:v>0.67907069254241248</x:v>
      </x:c>
      <x:c r="AQ226" s="50">
        <x:f t="shared" si="213"/>
        <x:v>163631831629.55756</x:v>
      </x:c>
      <x:c r="AR226" s="62">
        <x:f t="shared" si="214"/>
        <x:v>346236939552.02844</x:v>
      </x:c>
    </x:row>
    <x:row r="227">
      <x:c r="B227" s="44">
        <x:v>82</x:v>
      </x:c>
      <x:c r="C227" s="58">
        <x:f t="shared" si="215"/>
        <x:v>48518</x:v>
      </x:c>
      <x:c r="D227" s="88">
        <x:f t="shared" si="191"/>
        <x:v>2.2316207937853276E-12</x:v>
      </x:c>
      <x:c r="E227" s="60">
        <x:f t="shared" si="192"/>
        <x:v>0.99999999999776834</x:v>
      </x:c>
      <x:c r="F227" s="50">
        <x:f t="shared" si="193"/>
        <x:v>0.91104422796890205</x:v>
      </x:c>
      <x:c r="G227" s="62">
        <x:f t="shared" si="194"/>
        <x:v>408243295861.00256</x:v>
      </x:c>
      <x:c r="J227" s="44">
        <x:f t="shared" si="216"/>
        <x:v>82</x:v>
      </x:c>
      <x:c r="K227" s="58">
        <x:f t="shared" si="217"/>
        <x:v>48518</x:v>
      </x:c>
      <x:c r="L227" s="88">
        <x:f t="shared" si="195"/>
        <x:v>5.7482280667975223E-30</x:v>
      </x:c>
      <x:c r="M227" s="60">
        <x:f t="shared" si="196"/>
        <x:v>1</x:v>
      </x:c>
      <x:c r="N227" s="50">
        <x:f t="shared" si="197"/>
        <x:v>6.181903054761896E-21</x:v>
      </x:c>
      <x:c r="O227" s="62">
        <x:f t="shared" si="198"/>
        <x:v>1075444986.3375001</x:v>
      </x:c>
      <x:c r="R227" s="44">
        <x:v>82</x:v>
      </x:c>
      <x:c r="S227" s="58">
        <x:f t="shared" si="218"/>
        <x:v>48518</x:v>
      </x:c>
      <x:c r="T227" s="88">
        <x:f t="shared" si="199"/>
        <x:v>4.3376954410352945E-22</x:v>
      </x:c>
      <x:c r="U227" s="60">
        <x:f t="shared" si="200"/>
        <x:v>1</x:v>
      </x:c>
      <x:c r="V227" s="50">
        <x:f t="shared" si="201"/>
        <x:v>6.2586963206798951E-14</x:v>
      </x:c>
      <x:c r="W227" s="62">
        <x:f t="shared" si="202"/>
        <x:v>144286209.25</x:v>
      </x:c>
      <x:c r="Y227" s="44">
        <x:v>82</x:v>
      </x:c>
      <x:c r="Z227" s="58">
        <x:f t="shared" si="219"/>
        <x:v>48518</x:v>
      </x:c>
      <x:c r="AA227" s="88">
        <x:f t="shared" si="203"/>
        <x:v>1.470632056777246E-3</x:v>
      </x:c>
      <x:c r="AB227" s="60">
        <x:f t="shared" si="204"/>
        <x:v>0.99852936794322278</x:v>
      </x:c>
      <x:c r="AC227" s="50">
        <x:f t="shared" si="205"/>
        <x:v>333593312.62849176</x:v>
      </x:c>
      <x:c r="AD227" s="62">
        <x:f t="shared" si="206"/>
        <x:v>226503099856.92654</x:v>
      </x:c>
      <x:c r="AF227" s="44">
        <x:v>82</x:v>
      </x:c>
      <x:c r="AG227" s="58">
        <x:f t="shared" si="220"/>
        <x:v>48518</x:v>
      </x:c>
      <x:c r="AH227" s="88">
        <x:f t="shared" si="207"/>
        <x:v>1.387629671347674E-6</x:v>
      </x:c>
      <x:c r="AI227" s="60">
        <x:f t="shared" si="208"/>
        <x:v>0.99999861237032861</x:v>
      </x:c>
      <x:c r="AJ227" s="50">
        <x:f t="shared" si="209"/>
        <x:v>49702.736180466913</x:v>
      </x:c>
      <x:c r="AK227" s="62">
        <x:f t="shared" si="210"/>
        <x:v>35818394660.878014</x:v>
      </x:c>
      <x:c r="AM227" s="44">
        <x:v>82</x:v>
      </x:c>
      <x:c r="AN227" s="58">
        <x:f t="shared" si="221"/>
        <x:v>48518</x:v>
      </x:c>
      <x:c r="AO227" s="88">
        <x:f t="shared" si="211"/>
        <x:v>0.31645770017737207</x:v>
      </x:c>
      <x:c r="AP227" s="60">
        <x:f t="shared" si="212"/>
        <x:v>0.68354229982262793</x:v>
      </x:c>
      <x:c r="AQ227" s="50">
        <x:f t="shared" si="213"/>
        <x:v>161351898720.38748</x:v>
      </x:c>
      <x:c r="AR227" s="62">
        <x:f t="shared" si="214"/>
        <x:v>348516872461.19849</x:v>
      </x:c>
    </x:row>
    <x:row r="228">
      <x:c r="B228" s="44">
        <x:v>83</x:v>
      </x:c>
      <x:c r="C228" s="58">
        <x:f t="shared" si="215"/>
        <x:v>48548</x:v>
      </x:c>
      <x:c r="D228" s="88">
        <x:f t="shared" si="191"/>
        <x:v>1.6089050109354416E-12</x:v>
      </x:c>
      <x:c r="E228" s="60">
        <x:f t="shared" si="192"/>
        <x:v>0.99999999999839106</x:v>
      </x:c>
      <x:c r="F228" s="50">
        <x:f t="shared" si="193"/>
        <x:v>0.65682468439303288</x:v>
      </x:c>
      <x:c r="G228" s="62">
        <x:f t="shared" si="194"/>
        <x:v>408243295861.25684</x:v>
      </x:c>
      <x:c r="J228" s="44">
        <x:f t="shared" si="216"/>
        <x:v>83</x:v>
      </x:c>
      <x:c r="K228" s="58">
        <x:f t="shared" si="217"/>
        <x:v>48548</x:v>
      </x:c>
      <x:c r="L228" s="88">
        <x:f t="shared" si="195"/>
        <x:v>2.5289657167553893E-30</x:v>
      </x:c>
      <x:c r="M228" s="60">
        <x:f t="shared" si="196"/>
        <x:v>1</x:v>
      </x:c>
      <x:c r="N228" s="50">
        <x:f t="shared" si="197"/>
        <x:v>2.719763500704006E-21</x:v>
      </x:c>
      <x:c r="O228" s="62">
        <x:f t="shared" si="198"/>
        <x:v>1075444986.3375001</x:v>
      </x:c>
      <x:c r="R228" s="44">
        <x:v>83</x:v>
      </x:c>
      <x:c r="S228" s="58">
        <x:f t="shared" si="218"/>
        <x:v>48548</x:v>
      </x:c>
      <x:c r="T228" s="88">
        <x:f t="shared" si="199"/>
        <x:v>2.3808817439995823E-22</x:v>
      </x:c>
      <x:c r="U228" s="60">
        <x:f t="shared" si="200"/>
        <x:v>1</x:v>
      </x:c>
      <x:c r="V228" s="50">
        <x:f t="shared" si="201"/>
        <x:v>3.4352840151422867E-14</x:v>
      </x:c>
      <x:c r="W228" s="62">
        <x:f t="shared" si="202"/>
        <x:v>144286209.25</x:v>
      </x:c>
      <x:c r="Y228" s="44">
        <x:v>83</x:v>
      </x:c>
      <x:c r="Z228" s="58">
        <x:f t="shared" si="219"/>
        <x:v>48548</x:v>
      </x:c>
      <x:c r="AA228" s="88">
        <x:f t="shared" si="203"/>
        <x:v>1.3581927086863761E-3</x:v>
      </x:c>
      <x:c r="AB228" s="60">
        <x:f t="shared" si="204"/>
        <x:v>0.99864180729131358</x:v>
      </x:c>
      <x:c r="AC228" s="50">
        <x:f t="shared" si="205"/>
        <x:v>308087942.72541833</x:v>
      </x:c>
      <x:c r="AD228" s="62">
        <x:f t="shared" si="206"/>
        <x:v>226528605226.82959</x:v>
      </x:c>
      <x:c r="AF228" s="44">
        <x:v>83</x:v>
      </x:c>
      <x:c r="AG228" s="58">
        <x:f t="shared" si="220"/>
        <x:v>48548</x:v>
      </x:c>
      <x:c r="AH228" s="88">
        <x:f t="shared" si="207"/>
        <x:v>1.1771664870617574E-6</x:v>
      </x:c>
      <x:c r="AI228" s="60">
        <x:f t="shared" si="208"/>
        <x:v>0.99999882283351293</x:v>
      </x:c>
      <x:c r="AJ228" s="50">
        <x:f t="shared" si="209"/>
        <x:v>42164.272323532728</x:v>
      </x:c>
      <x:c r="AK228" s="62">
        <x:f t="shared" si="210"/>
        <x:v>35818402199.341873</x:v>
      </x:c>
      <x:c r="AM228" s="44">
        <x:v>83</x:v>
      </x:c>
      <x:c r="AN228" s="58">
        <x:f t="shared" si="221"/>
        <x:v>48548</x:v>
      </x:c>
      <x:c r="AO228" s="88">
        <x:f t="shared" si="211"/>
        <x:v>0.31204839718412525</x:v>
      </x:c>
      <x:c r="AP228" s="60">
        <x:f t="shared" si="212"/>
        <x:v>0.68795160281587475</x:v>
      </x:c>
      <x:c r="AQ228" s="50">
        <x:f t="shared" si="213"/>
        <x:v>159103732821.45343</x:v>
      </x:c>
      <x:c r="AR228" s="62">
        <x:f t="shared" si="214"/>
        <x:v>350765038360.13257</x:v>
      </x:c>
    </x:row>
    <x:row r="229">
      <x:c r="B229" s="44">
        <x:v>84</x:v>
      </x:c>
      <x:c r="C229" s="58">
        <x:f t="shared" si="215"/>
        <x:v>48579</x:v>
      </x:c>
      <x:c r="D229" s="88">
        <x:f t="shared" si="191"/>
        <x:v>1.1599530446310151E-12</x:v>
      </x:c>
      <x:c r="E229" s="60">
        <x:f t="shared" si="192"/>
        <x:v>0.99999999999884004</x:v>
      </x:c>
      <x:c r="F229" s="50">
        <x:f t="shared" si="193"/>
        <x:v>0.473543053985227</x:v>
      </x:c>
      <x:c r="G229" s="62">
        <x:f t="shared" si="194"/>
        <x:v>408243295861.44006</x:v>
      </x:c>
      <x:c r="J229" s="44">
        <x:f t="shared" si="216"/>
        <x:v>84</x:v>
      </x:c>
      <x:c r="K229" s="58">
        <x:f t="shared" si="217"/>
        <x:v>48579</x:v>
      </x:c>
      <x:c r="L229" s="88">
        <x:f t="shared" si="195"/>
        <x:v>1.1126328882923537E-30</x:v>
      </x:c>
      <x:c r="M229" s="60">
        <x:f t="shared" si="196"/>
        <x:v>1</x:v>
      </x:c>
      <x:c r="N229" s="50">
        <x:f t="shared" si="197"/>
        <x:v>1.1965754613482235E-21</x:v>
      </x:c>
      <x:c r="O229" s="62">
        <x:f t="shared" si="198"/>
        <x:v>1075444986.3375001</x:v>
      </x:c>
      <x:c r="R229" s="44">
        <x:v>84</x:v>
      </x:c>
      <x:c r="S229" s="58">
        <x:f t="shared" si="218"/>
        <x:v>48579</x:v>
      </x:c>
      <x:c r="T229" s="88">
        <x:f t="shared" si="199"/>
        <x:v>1.3068224719708647E-22</x:v>
      </x:c>
      <x:c r="U229" s="60">
        <x:f t="shared" si="200"/>
        <x:v>1</x:v>
      </x:c>
      <x:c r="V229" s="50">
        <x:f t="shared" si="201"/>
        <x:v>1.8855646064339044E-14</x:v>
      </x:c>
      <x:c r="W229" s="62">
        <x:f t="shared" si="202"/>
        <x:v>144286209.25</x:v>
      </x:c>
      <x:c r="Y229" s="44">
        <x:v>84</x:v>
      </x:c>
      <x:c r="Z229" s="58">
        <x:f t="shared" si="219"/>
        <x:v>48579</x:v>
      </x:c>
      <x:c r="AA229" s="88">
        <x:f t="shared" si="203"/>
        <x:v>1.2543500771847018E-3</x:v>
      </x:c>
      <x:c r="AB229" s="60">
        <x:f t="shared" si="204"/>
        <x:v>0.99874564992281534</x:v>
      </x:c>
      <x:c r="AC229" s="50">
        <x:f t="shared" si="205"/>
        <x:v>284532623.58555388</x:v>
      </x:c>
      <x:c r="AD229" s="62">
        <x:f t="shared" si="206"/>
        <x:v>226552160545.96948</x:v>
      </x:c>
      <x:c r="AF229" s="44">
        <x:v>84</x:v>
      </x:c>
      <x:c r="AG229" s="58">
        <x:f t="shared" si="220"/>
        <x:v>48579</x:v>
      </x:c>
      <x:c r="AH229" s="88">
        <x:f t="shared" si="207"/>
        <x:v>9.9862446506746869E-7</x:v>
      </x:c>
      <x:c r="AI229" s="60">
        <x:f t="shared" si="208"/>
        <x:v>0.99999900137553488</x:v>
      </x:c>
      <x:c r="AJ229" s="50">
        <x:f t="shared" si="209"/>
        <x:v>35769.174842163113</x:v>
      </x:c>
      <x:c r="AK229" s="62">
        <x:f t="shared" si="210"/>
        <x:v>35818408594.439354</x:v>
      </x:c>
      <x:c r="AM229" s="44">
        <x:v>84</x:v>
      </x:c>
      <x:c r="AN229" s="58">
        <x:f t="shared" si="221"/>
        <x:v>48579</x:v>
      </x:c>
      <x:c r="AO229" s="88">
        <x:f t="shared" si="211"/>
        <x:v>0.30770053037295064</x:v>
      </x:c>
      <x:c r="AP229" s="60">
        <x:f t="shared" si="212"/>
        <x:v>0.69229946962704936</x:v>
      </x:c>
      <x:c r="AQ229" s="50">
        <x:f t="shared" si="213"/>
        <x:v>156886891313.17862</x:v>
      </x:c>
      <x:c r="AR229" s="62">
        <x:f t="shared" si="214"/>
        <x:v>352981879868.40735</x:v>
      </x:c>
    </x:row>
    <x:row r="230">
      <x:c r="B230" s="44">
        <x:v>85</x:v>
      </x:c>
      <x:c r="C230" s="58">
        <x:f t="shared" si="215"/>
        <x:v>48610</x:v>
      </x:c>
      <x:c r="D230" s="88">
        <x:f t="shared" si="191"/>
        <x:v>8.3627750339746455E-13</x:v>
      </x:c>
      <x:c r="E230" s="60">
        <x:f t="shared" si="192"/>
        <x:v>0.99999999999916367</x:v>
      </x:c>
      <x:c r="F230" s="50">
        <x:f t="shared" si="193"/>
        <x:v>0.34140468424215359</x:v>
      </x:c>
      <x:c r="G230" s="62">
        <x:f t="shared" si="194"/>
        <x:v>408243295861.5722</x:v>
      </x:c>
      <x:c r="J230" s="44">
        <x:f t="shared" si="216"/>
        <x:v>85</x:v>
      </x:c>
      <x:c r="K230" s="58">
        <x:f t="shared" si="217"/>
        <x:v>48610</x:v>
      </x:c>
      <x:c r="L230" s="88">
        <x:f t="shared" si="195"/>
        <x:v>4.8950918389595031E-31</x:v>
      </x:c>
      <x:c r="M230" s="60">
        <x:f t="shared" si="196"/>
        <x:v>1</x:v>
      </x:c>
      <x:c r="N230" s="50">
        <x:f t="shared" si="197"/>
        <x:v>5.2644019758706113E-22</x:v>
      </x:c>
      <x:c r="O230" s="62">
        <x:f t="shared" si="198"/>
        <x:v>1075444986.3375001</x:v>
      </x:c>
      <x:c r="R230" s="44">
        <x:v>85</x:v>
      </x:c>
      <x:c r="S230" s="58">
        <x:f t="shared" si="218"/>
        <x:v>48610</x:v>
      </x:c>
      <x:c r="T230" s="88">
        <x:f t="shared" si="199"/>
        <x:v>7.1729096900847715E-23</x:v>
      </x:c>
      <x:c r="U230" s="60">
        <x:f t="shared" si="200"/>
        <x:v>1</x:v>
      </x:c>
      <x:c r="V230" s="50">
        <x:f t="shared" si="201"/>
        <x:v>1.034951948474924E-14</x:v>
      </x:c>
      <x:c r="W230" s="62">
        <x:f t="shared" si="202"/>
        <x:v>144286209.25</x:v>
      </x:c>
      <x:c r="Y230" s="44">
        <x:v>85</x:v>
      </x:c>
      <x:c r="Z230" s="58">
        <x:f t="shared" si="219"/>
        <x:v>48610</x:v>
      </x:c>
      <x:c r="AA230" s="88">
        <x:f t="shared" si="203"/>
        <x:v>1.1584468875959664E-3</x:v>
      </x:c>
      <x:c r="AB230" s="60">
        <x:f t="shared" si="204"/>
        <x:v>0.99884155311240408</x:v>
      </x:c>
      <x:c r="AC230" s="50">
        <x:f t="shared" si="205"/>
        <x:v>262778261.19483224</x:v>
      </x:c>
      <x:c r="AD230" s="62">
        <x:f t="shared" si="206"/>
        <x:v>226573914908.3602</x:v>
      </x:c>
      <x:c r="AF230" s="44">
        <x:v>85</x:v>
      </x:c>
      <x:c r="AG230" s="58">
        <x:f t="shared" si="220"/>
        <x:v>48610</x:v>
      </x:c>
      <x:c r="AH230" s="88">
        <x:f t="shared" si="207"/>
        <x:v>8.4716209065758898E-7</x:v>
      </x:c>
      <x:c r="AI230" s="60">
        <x:f t="shared" si="208"/>
        <x:v>0.9999991528379093</x:v>
      </x:c>
      <x:c r="AJ230" s="50">
        <x:f t="shared" si="209"/>
        <x:v>30344.028211181936</x:v>
      </x:c>
      <x:c r="AK230" s="62">
        <x:f t="shared" si="210"/>
        <x:v>35818414019.585983</x:v>
      </x:c>
      <x:c r="AM230" s="44">
        <x:v>85</x:v>
      </x:c>
      <x:c r="AN230" s="58">
        <x:f t="shared" si="221"/>
        <x:v>48610</x:v>
      </x:c>
      <x:c r="AO230" s="88">
        <x:f t="shared" si="211"/>
        <x:v>0.30341324373452583</x:v>
      </x:c>
      <x:c r="AP230" s="60">
        <x:f t="shared" si="212"/>
        <x:v>0.69658675626547417</x:v>
      </x:c>
      <x:c r="AQ230" s="50">
        <x:f t="shared" si="213"/>
        <x:v>154700937743.14172</x:v>
      </x:c>
      <x:c r="AR230" s="62">
        <x:f t="shared" si="214"/>
        <x:v>355167833438.44427</x:v>
      </x:c>
    </x:row>
    <x:row r="231">
      <x:c r="B231" s="44">
        <x:v>86</x:v>
      </x:c>
      <x:c r="C231" s="58">
        <x:f t="shared" si="215"/>
        <x:v>48638</x:v>
      </x:c>
      <x:c r="D231" s="88">
        <x:f t="shared" si="191"/>
        <x:v>6.029210112648699E-13</x:v>
      </x:c>
      <x:c r="E231" s="60">
        <x:f t="shared" si="192"/>
        <x:v>0.99999999999939704</x:v>
      </x:c>
      <x:c r="F231" s="50">
        <x:f t="shared" si="193"/>
        <x:v>0.24613846078316845</x:v>
      </x:c>
      <x:c r="G231" s="62">
        <x:f t="shared" si="194"/>
        <x:v>408243295861.66748</x:v>
      </x:c>
      <x:c r="J231" s="44">
        <x:f t="shared" si="216"/>
        <x:v>86</x:v>
      </x:c>
      <x:c r="K231" s="58">
        <x:f t="shared" si="217"/>
        <x:v>48638</x:v>
      </x:c>
      <x:c r="L231" s="88">
        <x:f t="shared" si="195"/>
        <x:v>2.1536235683833274E-31</x:v>
      </x:c>
      <x:c r="M231" s="60">
        <x:f t="shared" si="196"/>
        <x:v>1</x:v>
      </x:c>
      <x:c r="N231" s="50">
        <x:f t="shared" si="197"/>
        <x:v>2.3161036690761258E-22</x:v>
      </x:c>
      <x:c r="O231" s="62">
        <x:f t="shared" si="198"/>
        <x:v>1075444986.3375001</x:v>
      </x:c>
      <x:c r="R231" s="44">
        <x:v>86</x:v>
      </x:c>
      <x:c r="S231" s="58">
        <x:f t="shared" si="218"/>
        <x:v>48638</x:v>
      </x:c>
      <x:c r="T231" s="88">
        <x:f t="shared" si="199"/>
        <x:v>3.937079023787917E-23</x:v>
      </x:c>
      <x:c r="U231" s="60">
        <x:f t="shared" si="200"/>
        <x:v>1</x:v>
      </x:c>
      <x:c r="V231" s="50">
        <x:f t="shared" si="201"/>
        <x:v>5.6806620786004913E-15</x:v>
      </x:c>
      <x:c r="W231" s="62">
        <x:f t="shared" si="202"/>
        <x:v>144286209.25</x:v>
      </x:c>
      <x:c r="Y231" s="44">
        <x:v>86</x:v>
      </x:c>
      <x:c r="Z231" s="58">
        <x:f t="shared" si="219"/>
        <x:v>48638</x:v>
      </x:c>
      <x:c r="AA231" s="88">
        <x:f t="shared" si="203"/>
        <x:v>1.0698761181510044E-3</x:v>
      </x:c>
      <x:c r="AB231" s="60">
        <x:f t="shared" si="204"/>
        <x:v>0.99893012388184899</x:v>
      </x:c>
      <x:c r="AC231" s="50">
        <x:f t="shared" si="205"/>
        <x:v>242687160.74245396</x:v>
      </x:c>
      <x:c r="AD231" s="62">
        <x:f t="shared" si="206"/>
        <x:v>226594006008.81256</x:v>
      </x:c>
      <x:c r="AF231" s="44">
        <x:v>86</x:v>
      </x:c>
      <x:c r="AG231" s="58">
        <x:f t="shared" si="220"/>
        <x:v>48638</x:v>
      </x:c>
      <x:c r="AH231" s="88">
        <x:f t="shared" si="207"/>
        <x:v>7.1867216651741964E-7</x:v>
      </x:c>
      <x:c r="AI231" s="60">
        <x:f t="shared" si="208"/>
        <x:v>0.99999928132783344</x:v>
      </x:c>
      <x:c r="AJ231" s="50">
        <x:f t="shared" si="209"/>
        <x:v>25741.719012082274</x:v>
      </x:c>
      <x:c r="AK231" s="62">
        <x:f t="shared" si="210"/>
        <x:v>35818418621.895187</x:v>
      </x:c>
      <x:c r="AM231" s="44">
        <x:v>86</x:v>
      </x:c>
      <x:c r="AN231" s="58">
        <x:f t="shared" si="221"/>
        <x:v>48638</x:v>
      </x:c>
      <x:c r="AO231" s="88">
        <x:f t="shared" si="211"/>
        <x:v>0.29918569318657096</x:v>
      </x:c>
      <x:c r="AP231" s="60">
        <x:f t="shared" si="212"/>
        <x:v>0.70081430681342904</x:v>
      </x:c>
      <x:c r="AQ231" s="50">
        <x:f t="shared" si="213"/>
        <x:v>152545441740.14795</x:v>
      </x:c>
      <x:c r="AR231" s="62">
        <x:f t="shared" si="214"/>
        <x:v>357323329441.43805</x:v>
      </x:c>
    </x:row>
    <x:row r="232">
      <x:c r="B232" s="44">
        <x:v>87</x:v>
      </x:c>
      <x:c r="C232" s="58">
        <x:f t="shared" si="215"/>
        <x:v>48669</x:v>
      </x:c>
      <x:c r="D232" s="88">
        <x:f t="shared" si="191"/>
        <x:v>4.3468076607088065E-13</x:v>
      </x:c>
      <x:c r="E232" s="60">
        <x:f t="shared" si="192"/>
        <x:v>0.99999999999956535</x:v>
      </x:c>
      <x:c r="F232" s="50">
        <x:f t="shared" si="193"/>
        <x:v>0.1774555085885578</x:v>
      </x:c>
      <x:c r="G232" s="62">
        <x:f t="shared" si="194"/>
        <x:v>408243295861.73621</x:v>
      </x:c>
      <x:c r="J232" s="44">
        <x:f t="shared" si="216"/>
        <x:v>87</x:v>
      </x:c>
      <x:c r="K232" s="58">
        <x:f t="shared" si="217"/>
        <x:v>48669</x:v>
      </x:c>
      <x:c r="L232" s="88">
        <x:f t="shared" si="195"/>
        <x:v>9.4749896976029078E-32</x:v>
      </x:c>
      <x:c r="M232" s="60">
        <x:f t="shared" si="196"/>
        <x:v>1</x:v>
      </x:c>
      <x:c r="N232" s="50">
        <x:f t="shared" si="197"/>
        <x:v>1.0189830165886513E-22</x:v>
      </x:c>
      <x:c r="O232" s="62">
        <x:f t="shared" si="198"/>
        <x:v>1075444986.3375001</x:v>
      </x:c>
      <x:c r="R232" s="44">
        <x:v>87</x:v>
      </x:c>
      <x:c r="S232" s="58">
        <x:f t="shared" si="218"/>
        <x:v>48669</x:v>
      </x:c>
      <x:c r="T232" s="88">
        <x:f t="shared" si="199"/>
        <x:v>2.1609907149643391E-23</x:v>
      </x:c>
      <x:c r="U232" s="60">
        <x:f t="shared" si="200"/>
        <x:v>1</x:v>
      </x:c>
      <x:c r="V232" s="50">
        <x:f t="shared" si="201"/>
        <x:v>3.1180115848665173E-15</x:v>
      </x:c>
      <x:c r="W232" s="62">
        <x:f t="shared" si="202"/>
        <x:v>144286209.25</x:v>
      </x:c>
      <x:c r="Y232" s="44">
        <x:v>87</x:v>
      </x:c>
      <x:c r="Z232" s="58">
        <x:f t="shared" si="219"/>
        <x:v>48669</x:v>
      </x:c>
      <x:c r="AA232" s="88">
        <x:f t="shared" si="203"/>
        <x:v>9.880771578274362E-4</x:v>
      </x:c>
      <x:c r="AB232" s="60">
        <x:f t="shared" si="204"/>
        <x:v>0.99901192284217255</x:v>
      </x:c>
      <x:c r="AC232" s="50">
        <x:f t="shared" si="205"/>
        <x:v>224132155.07794812</x:v>
      </x:c>
      <x:c r="AD232" s="62">
        <x:f t="shared" si="206"/>
        <x:v>226612561014.47708</x:v>
      </x:c>
      <x:c r="AF232" s="44">
        <x:v>87</x:v>
      </x:c>
      <x:c r="AG232" s="58">
        <x:f t="shared" si="220"/>
        <x:v>48669</x:v>
      </x:c>
      <x:c r="AH232" s="88">
        <x:f t="shared" si="207"/>
        <x:v>6.096704380692121E-7</x:v>
      </x:c>
      <x:c r="AI232" s="60">
        <x:f t="shared" si="208"/>
        <x:v>0.99999939032956198</x:v>
      </x:c>
      <x:c r="AJ232" s="50">
        <x:f t="shared" si="209"/>
        <x:v>21837.446666122367</x:v>
      </x:c>
      <x:c r="AK232" s="62">
        <x:f t="shared" si="210"/>
        <x:v>35818422526.167534</x:v>
      </x:c>
      <x:c r="AM232" s="44">
        <x:v>87</x:v>
      </x:c>
      <x:c r="AN232" s="58">
        <x:f t="shared" si="221"/>
        <x:v>48669</x:v>
      </x:c>
      <x:c r="AO232" s="88">
        <x:f t="shared" si="211"/>
        <x:v>0.29501704640766568</x:v>
      </x:c>
      <x:c r="AP232" s="60">
        <x:f t="shared" si="212"/>
        <x:v>0.70498295359233432</x:v>
      </x:c>
      <x:c r="AQ232" s="50">
        <x:f t="shared" si="213"/>
        <x:v>150419978929.49744</x:v>
      </x:c>
      <x:c r="AR232" s="62">
        <x:f t="shared" si="214"/>
        <x:v>359448792252.08856</x:v>
      </x:c>
    </x:row>
    <x:row r="233">
      <x:c r="B233" s="44">
        <x:v>88</x:v>
      </x:c>
      <x:c r="C233" s="58">
        <x:f t="shared" si="215"/>
        <x:v>48699</x:v>
      </x:c>
      <x:c r="D233" s="88">
        <x:f t="shared" si="191"/>
        <x:v>3.133866043174949E-13</x:v>
      </x:c>
      <x:c r="E233" s="60">
        <x:f t="shared" si="192"/>
        <x:v>0.99999999999968658</x:v>
      </x:c>
      <x:c r="F233" s="50">
        <x:f t="shared" si="193"/>
        <x:v>0.12793798022554753</x:v>
      </x:c>
      <x:c r="G233" s="62">
        <x:f t="shared" si="194"/>
        <x:v>408243295861.78571</x:v>
      </x:c>
      <x:c r="J233" s="44">
        <x:f t="shared" si="216"/>
        <x:v>88</x:v>
      </x:c>
      <x:c r="K233" s="58">
        <x:f t="shared" si="217"/>
        <x:v>48699</x:v>
      </x:c>
      <x:c r="L233" s="88">
        <x:f t="shared" si="195"/>
        <x:v>4.1685757477604219E-32</x:v>
      </x:c>
      <x:c r="M233" s="60">
        <x:f t="shared" si="196"/>
        <x:v>1</x:v>
      </x:c>
      <x:c r="N233" s="50">
        <x:f t="shared" si="197"/>
        <x:v>4.4830738880970412E-23</x:v>
      </x:c>
      <x:c r="O233" s="62">
        <x:f t="shared" si="198"/>
        <x:v>1075444986.3375001</x:v>
      </x:c>
      <x:c r="R233" s="44">
        <x:v>88</x:v>
      </x:c>
      <x:c r="S233" s="58">
        <x:f t="shared" si="218"/>
        <x:v>48699</x:v>
      </x:c>
      <x:c r="T233" s="88">
        <x:f t="shared" si="199"/>
        <x:v>1.1861283052604562E-23</x:v>
      </x:c>
      <x:c r="U233" s="60">
        <x:f t="shared" si="200"/>
        <x:v>1</x:v>
      </x:c>
      <x:c r="V233" s="50">
        <x:f t="shared" si="201"/>
        <x:v>1.7114195685015806E-15</x:v>
      </x:c>
      <x:c r="W233" s="62">
        <x:f t="shared" si="202"/>
        <x:v>144286209.25</x:v>
      </x:c>
      <x:c r="Y233" s="44">
        <x:v>88</x:v>
      </x:c>
      <x:c r="Z233" s="58">
        <x:f t="shared" si="219"/>
        <x:v>48699</x:v>
      </x:c>
      <x:c r="AA233" s="88">
        <x:f t="shared" si="203"/>
        <x:v>9.1253225794740819E-4</x:v>
      </x:c>
      <x:c r="AB233" s="60">
        <x:f t="shared" si="204"/>
        <x:v>0.99908746774205259</x:v>
      </x:c>
      <x:c r="AC233" s="50">
        <x:f t="shared" si="205"/>
        <x:v>206995799.80333748</x:v>
      </x:c>
      <x:c r="AD233" s="62">
        <x:f t="shared" si="206"/>
        <x:v>226629697369.75168</x:v>
      </x:c>
      <x:c r="AF233" s="44">
        <x:v>88</x:v>
      </x:c>
      <x:c r="AG233" s="58">
        <x:f t="shared" si="220"/>
        <x:v>48699</x:v>
      </x:c>
      <x:c r="AH233" s="88">
        <x:f t="shared" si="207"/>
        <x:v>5.1720111112233454E-7</x:v>
      </x:c>
      <x:c r="AI233" s="60">
        <x:f t="shared" si="208"/>
        <x:v>0.99999948279888884</x:v>
      </x:c>
      <x:c r="AJ233" s="50">
        <x:f t="shared" si="209"/>
        <x:v>18525.339223534782</x:v>
      </x:c>
      <x:c r="AK233" s="62">
        <x:f t="shared" si="210"/>
        <x:v>35818425838.274971</x:v>
      </x:c>
      <x:c r="AM233" s="44">
        <x:v>88</x:v>
      </x:c>
      <x:c r="AN233" s="58">
        <x:f t="shared" si="221"/>
        <x:v>48699</x:v>
      </x:c>
      <x:c r="AO233" s="88">
        <x:f t="shared" si="211"/>
        <x:v>0.29090648267338126</x:v>
      </x:c>
      <x:c r="AP233" s="60">
        <x:f t="shared" si="212"/>
        <x:v>0.70909351732661874</x:v>
      </x:c>
      <x:c r="AQ233" s="50">
        <x:f t="shared" si="213"/>
        <x:v>148324130849.43423</x:v>
      </x:c>
      <x:c r="AR233" s="62">
        <x:f t="shared" si="214"/>
        <x:v>361544640332.15173</x:v>
      </x:c>
    </x:row>
    <x:row r="234">
      <x:c r="B234" s="44">
        <x:v>89</x:v>
      </x:c>
      <x:c r="C234" s="58">
        <x:f t="shared" si="215"/>
        <x:v>48730</x:v>
      </x:c>
      <x:c r="D234" s="88">
        <x:f t="shared" si="191"/>
        <x:v>2.2593860007515362E-13</x:v>
      </x:c>
      <x:c r="E234" s="60">
        <x:f t="shared" si="192"/>
        <x:v>0.99999999999977407</x:v>
      </x:c>
      <x:c r="F234" s="50">
        <x:f t="shared" si="193"/>
        <x:v>9.2237918757107518E-2</x:v>
      </x:c>
      <x:c r="G234" s="62">
        <x:f t="shared" si="194"/>
        <x:v>408243295861.82141</x:v>
      </x:c>
      <x:c r="J234" s="44">
        <x:f t="shared" si="216"/>
        <x:v>89</x:v>
      </x:c>
      <x:c r="K234" s="58">
        <x:f t="shared" si="217"/>
        <x:v>48730</x:v>
      </x:c>
      <x:c r="L234" s="88">
        <x:f t="shared" si="195"/>
        <x:v>1.8339886711658216E-32</x:v>
      </x:c>
      <x:c r="M234" s="60">
        <x:f t="shared" si="196"/>
        <x:v>1</x:v>
      </x:c>
      <x:c r="N234" s="50">
        <x:f t="shared" si="197"/>
        <x:v>1.9723539214050569E-23</x:v>
      </x:c>
      <x:c r="O234" s="62">
        <x:f t="shared" si="198"/>
        <x:v>1075444986.3375001</x:v>
      </x:c>
      <x:c r="R234" s="44">
        <x:v>89</x:v>
      </x:c>
      <x:c r="S234" s="58">
        <x:f t="shared" si="218"/>
        <x:v>48730</x:v>
      </x:c>
      <x:c r="T234" s="88">
        <x:f t="shared" si="199"/>
        <x:v>6.5104414692650288E-24</x:v>
      </x:c>
      <x:c r="U234" s="60">
        <x:f t="shared" si="200"/>
        <x:v>1</x:v>
      </x:c>
      <x:c r="V234" s="50">
        <x:f t="shared" si="201"/>
        <x:v>9.3936692014425138E-16</x:v>
      </x:c>
      <x:c r="W234" s="62">
        <x:f t="shared" si="202"/>
        <x:v>144286209.25</x:v>
      </x:c>
      <x:c r="Y234" s="44">
        <x:v>89</x:v>
      </x:c>
      <x:c r="Z234" s="58">
        <x:f t="shared" si="219"/>
        <x:v>48730</x:v>
      </x:c>
      <x:c r="AA234" s="88">
        <x:f t="shared" si="203"/>
        <x:v>8.4276325507367481E-4</x:v>
      </x:c>
      <x:c r="AB234" s="60">
        <x:f t="shared" si="204"/>
        <x:v>0.99915723674492629</x:v>
      </x:c>
      <x:c r="AC234" s="50">
        <x:f t="shared" si="205"/>
        <x:v>191169629.90572262</x:v>
      </x:c>
      <x:c r="AD234" s="62">
        <x:f t="shared" si="206"/>
        <x:v>226645523539.64929</x:v>
      </x:c>
      <x:c r="AF234" s="44">
        <x:v>89</x:v>
      </x:c>
      <x:c r="AG234" s="58">
        <x:f t="shared" si="220"/>
        <x:v>48730</x:v>
      </x:c>
      <x:c r="AH234" s="88">
        <x:f t="shared" si="207"/>
        <x:v>4.3875669975622179E-7</x:v>
      </x:c>
      <x:c r="AI234" s="60">
        <x:f t="shared" si="208"/>
        <x:v>0.99999956124330025</x:v>
      </x:c>
      <x:c r="AJ234" s="50">
        <x:f t="shared" si="209"/>
        <x:v>15715.582439381209</x:v>
      </x:c>
      <x:c r="AK234" s="62">
        <x:f t="shared" si="210"/>
        <x:v>35818428648.031761</x:v>
      </x:c>
      <x:c r="AM234" s="44">
        <x:v>89</x:v>
      </x:c>
      <x:c r="AN234" s="58">
        <x:f t="shared" si="221"/>
        <x:v>48730</x:v>
      </x:c>
      <x:c r="AO234" s="88">
        <x:f t="shared" si="211"/>
        <x:v>0.28685319269469622</x:v>
      </x:c>
      <x:c r="AP234" s="60">
        <x:f t="shared" si="212"/>
        <x:v>0.71314680730530378</x:v>
      </x:c>
      <x:c r="AQ234" s="50">
        <x:f t="shared" si="213"/>
        <x:v>146257484868.75946</x:v>
      </x:c>
      <x:c r="AR234" s="62">
        <x:f t="shared" si="214"/>
        <x:v>363611286312.82654</x:v>
      </x:c>
    </x:row>
    <x:row r="235">
      <x:c r="B235" s="44">
        <x:v>90</x:v>
      </x:c>
      <x:c r="C235" s="58">
        <x:f t="shared" si="215"/>
        <x:v>48760</x:v>
      </x:c>
      <x:c r="D235" s="88">
        <x:f t="shared" si="191"/>
        <x:v>1.6289225608444563E-13</x:v>
      </x:c>
      <x:c r="E235" s="60">
        <x:f t="shared" si="192"/>
        <x:v>0.99999999999983713</x:v>
      </x:c>
      <x:c r="F235" s="50">
        <x:f t="shared" si="193"/>
        <x:v>6.6499671494296933E-2</x:v>
      </x:c>
      <x:c r="G235" s="62">
        <x:f t="shared" si="194"/>
        <x:v>408243295861.84711</x:v>
      </x:c>
      <x:c r="J235" s="44">
        <x:f t="shared" si="216"/>
        <x:v>90</x:v>
      </x:c>
      <x:c r="K235" s="58">
        <x:f t="shared" si="217"/>
        <x:v>48760</x:v>
      </x:c>
      <x:c r="L235" s="88">
        <x:f t="shared" si="195"/>
        <x:v>8.0687377403940268E-33</x:v>
      </x:c>
      <x:c r="M235" s="60">
        <x:f t="shared" si="196"/>
        <x:v>1</x:v>
      </x:c>
      <x:c r="N235" s="50">
        <x:f t="shared" si="197"/>
        <x:v>8.6774835489789254E-24</x:v>
      </x:c>
      <x:c r="O235" s="62">
        <x:f t="shared" si="198"/>
        <x:v>1075444986.3375001</x:v>
      </x:c>
      <x:c r="R235" s="44">
        <x:v>90</x:v>
      </x:c>
      <x:c r="S235" s="58">
        <x:f t="shared" si="218"/>
        <x:v>48760</x:v>
      </x:c>
      <x:c r="T235" s="88">
        <x:f t="shared" si="199"/>
        <x:v>3.5734623258500004E-24</x:v>
      </x:c>
      <x:c r="U235" s="60">
        <x:f t="shared" si="200"/>
        <x:v>1</x:v>
      </x:c>
      <x:c r="V235" s="50">
        <x:f t="shared" si="201"/>
        <x:v>5.1560133289458487E-16</x:v>
      </x:c>
      <x:c r="W235" s="62">
        <x:f t="shared" si="202"/>
        <x:v>144286209.25</x:v>
      </x:c>
      <x:c r="Y235" s="44">
        <x:v>90</x:v>
      </x:c>
      <x:c r="Z235" s="58">
        <x:f t="shared" si="219"/>
        <x:v>48760</x:v>
      </x:c>
      <x:c r="AA235" s="88">
        <x:f t="shared" si="203"/>
        <x:v>7.7832854446150399E-4</x:v>
      </x:c>
      <x:c r="AB235" s="60">
        <x:f t="shared" si="204"/>
        <x:v>0.99922167145553853</x:v>
      </x:c>
      <x:c r="AC235" s="50">
        <x:f t="shared" si="205"/>
        <x:v>176553473.22512054</x:v>
      </x:c>
      <x:c r="AD235" s="62">
        <x:f t="shared" si="206"/>
        <x:v>226660139696.3299</x:v>
      </x:c>
      <x:c r="AF235" s="44">
        <x:v>90</x:v>
      </x:c>
      <x:c r="AG235" s="58">
        <x:f t="shared" si="220"/>
        <x:v>48760</x:v>
      </x:c>
      <x:c r="AH235" s="88">
        <x:f t="shared" si="207"/>
        <x:v>3.7221003095532253E-7</x:v>
      </x:c>
      <x:c r="AI235" s="60">
        <x:f t="shared" si="208"/>
        <x:v>0.99999962778996909</x:v>
      </x:c>
      <x:c r="AJ235" s="50">
        <x:f t="shared" si="209"/>
        <x:v>13331.984285352339</x:v>
      </x:c>
      <x:c r="AK235" s="62">
        <x:f t="shared" si="210"/>
        <x:v>35818431031.629913</x:v>
      </x:c>
      <x:c r="AM235" s="44">
        <x:v>90</x:v>
      </x:c>
      <x:c r="AN235" s="58">
        <x:f t="shared" si="221"/>
        <x:v>48760</x:v>
      </x:c>
      <x:c r="AO235" s="88">
        <x:f t="shared" si="211"/>
        <x:v>0.28285637845866335</x:v>
      </x:c>
      <x:c r="AP235" s="60">
        <x:f t="shared" si="212"/>
        <x:v>0.71714362154133671</x:v>
      </x:c>
      <x:c r="AQ235" s="50">
        <x:f t="shared" si="213"/>
        <x:v>144219634105.59232</x:v>
      </x:c>
      <x:c r="AR235" s="62">
        <x:f t="shared" si="214"/>
        <x:v>365649137075.99365</x:v>
      </x:c>
    </x:row>
    <x:row r="236">
      <x:c r="B236" s="44">
        <x:v>91</x:v>
      </x:c>
      <x:c r="C236" s="58">
        <x:f t="shared" si="215"/>
        <x:v>48791</x:v>
      </x:c>
      <x:c r="D236" s="88">
        <x:f t="shared" si="191"/>
        <x:v>1.174384858694118E-13</x:v>
      </x:c>
      <x:c r="E236" s="60">
        <x:f t="shared" si="192"/>
        <x:v>0.99999999999988254</x:v>
      </x:c>
      <x:c r="F236" s="50">
        <x:f t="shared" si="193"/>
        <x:v>4.7943474532361446E-2</x:v>
      </x:c>
      <x:c r="G236" s="62">
        <x:f t="shared" si="194"/>
        <x:v>408243295861.86566</x:v>
      </x:c>
      <x:c r="J236" s="44">
        <x:f t="shared" si="216"/>
        <x:v>91</x:v>
      </x:c>
      <x:c r="K236" s="58">
        <x:f t="shared" si="217"/>
        <x:v>48791</x:v>
      </x:c>
      <x:c r="L236" s="88">
        <x:f t="shared" si="195"/>
        <x:v>3.5498871801576367E-33</x:v>
      </x:c>
      <x:c r="M236" s="60">
        <x:f t="shared" si="196"/>
        <x:v>1</x:v>
      </x:c>
      <x:c r="N236" s="50">
        <x:f t="shared" si="197"/>
        <x:v>3.8177083699642961E-24</x:v>
      </x:c>
      <x:c r="O236" s="62">
        <x:f t="shared" si="198"/>
        <x:v>1075444986.3375001</x:v>
      </x:c>
      <x:c r="R236" s="44">
        <x:v>91</x:v>
      </x:c>
      <x:c r="S236" s="58">
        <x:f t="shared" si="218"/>
        <x:v>48791</x:v>
      </x:c>
      <x:c r="T236" s="88">
        <x:f t="shared" si="199"/>
        <x:v>1.9614081555840901E-24</x:v>
      </x:c>
      <x:c r="U236" s="60">
        <x:f t="shared" si="200"/>
        <x:v>1</x:v>
      </x:c>
      <x:c r="V236" s="50">
        <x:f t="shared" si="201"/>
        <x:v>2.830041475612626E-16</x:v>
      </x:c>
      <x:c r="W236" s="62">
        <x:f t="shared" si="202"/>
        <x:v>144286209.25</x:v>
      </x:c>
      <x:c r="Y236" s="44">
        <x:v>91</x:v>
      </x:c>
      <x:c r="Z236" s="58">
        <x:f t="shared" si="219"/>
        <x:v>48791</x:v>
      </x:c>
      <x:c r="AA236" s="88">
        <x:f t="shared" si="203"/>
        <x:v>7.1882028490979281E-4</x:v>
      </x:c>
      <x:c r="AB236" s="60">
        <x:f t="shared" si="204"/>
        <x:v>0.99928117971509023</x:v>
      </x:c>
      <x:c r="AC236" s="50">
        <x:f t="shared" si="205"/>
        <x:v>163054816.4121348</x:v>
      </x:c>
      <x:c r="AD236" s="62">
        <x:f t="shared" si="206"/>
        <x:v>226673638353.14288</x:v>
      </x:c>
      <x:c r="AF236" s="44">
        <x:v>91</x:v>
      </x:c>
      <x:c r="AG236" s="58">
        <x:f t="shared" si="220"/>
        <x:v>48791</x:v>
      </x:c>
      <x:c r="AH236" s="88">
        <x:f t="shared" si="207"/>
        <x:v>3.1575656216927677E-7</x:v>
      </x:c>
      <x:c r="AI236" s="60">
        <x:f t="shared" si="208"/>
        <x:v>0.99999968424343788</x:v>
      </x:c>
      <x:c r="AJ236" s="50">
        <x:f t="shared" si="209"/>
        <x:v>11309.908854506328</x:v>
      </x:c>
      <x:c r="AK236" s="62">
        <x:f t="shared" si="210"/>
        <x:v>35818433053.705345</x:v>
      </x:c>
      <x:c r="AM236" s="44">
        <x:v>91</x:v>
      </x:c>
      <x:c r="AN236" s="58">
        <x:f t="shared" si="221"/>
        <x:v>48791</x:v>
      </x:c>
      <x:c r="AO236" s="88">
        <x:f t="shared" si="211"/>
        <x:v>0.27891525307129661</x:v>
      </x:c>
      <x:c r="AP236" s="60">
        <x:f t="shared" si="212"/>
        <x:v>0.72108474692870339</x:v>
      </x:c>
      <x:c r="AQ236" s="50">
        <x:f t="shared" si="213"/>
        <x:v>142210177347.26309</x:v>
      </x:c>
      <x:c r="AR236" s="62">
        <x:f t="shared" si="214"/>
        <x:v>367658593834.32288</x:v>
      </x:c>
    </x:row>
    <x:row r="237">
      <x:c r="B237" s="44">
        <x:v>92</x:v>
      </x:c>
      <x:c r="C237" s="58">
        <x:f t="shared" si="215"/>
        <x:v>48822</x:v>
      </x:c>
      <x:c r="D237" s="88">
        <x:f t="shared" si="191"/>
        <x:v>8.4668223614940746E-14</x:v>
      </x:c>
      <x:c r="E237" s="60">
        <x:f t="shared" si="192"/>
        <x:v>0.99999999999991529</x:v>
      </x:c>
      <x:c r="F237" s="50">
        <x:f t="shared" si="193"/>
        <x:v>3.456523466333692E-2</x:v>
      </x:c>
      <x:c r="G237" s="62">
        <x:f t="shared" si="194"/>
        <x:v>408243295861.87909</x:v>
      </x:c>
      <x:c r="J237" s="44">
        <x:f t="shared" si="216"/>
        <x:v>92</x:v>
      </x:c>
      <x:c r="K237" s="58">
        <x:f t="shared" si="217"/>
        <x:v>48822</x:v>
      </x:c>
      <x:c r="L237" s="88">
        <x:f t="shared" si="195"/>
        <x:v>1.5617931078315071E-33</x:v>
      </x:c>
      <x:c r="M237" s="60">
        <x:f t="shared" si="196"/>
        <x:v>1</x:v>
      </x:c>
      <x:c r="N237" s="50">
        <x:f t="shared" si="197"/>
        <x:v>1.6796225675138569E-24</x:v>
      </x:c>
      <x:c r="O237" s="62">
        <x:f t="shared" si="198"/>
        <x:v>1075444986.3375001</x:v>
      </x:c>
      <x:c r="R237" s="44">
        <x:v>92</x:v>
      </x:c>
      <x:c r="S237" s="58">
        <x:f t="shared" si="218"/>
        <x:v>48822</x:v>
      </x:c>
      <x:c r="T237" s="88">
        <x:f t="shared" si="199"/>
        <x:v>1.0765810863492777E-24</x:v>
      </x:c>
      <x:c r="U237" s="60">
        <x:f t="shared" si="200"/>
        <x:v>1</x:v>
      </x:c>
      <x:c r="V237" s="50">
        <x:f t="shared" si="201"/>
        <x:v>1.5533580389958419E-16</x:v>
      </x:c>
      <x:c r="W237" s="62">
        <x:f t="shared" si="202"/>
        <x:v>144286209.25</x:v>
      </x:c>
      <x:c r="Y237" s="44">
        <x:v>92</x:v>
      </x:c>
      <x:c r="Z237" s="58">
        <x:f t="shared" si="219"/>
        <x:v>48822</x:v>
      </x:c>
      <x:c r="AA237" s="88">
        <x:f t="shared" si="203"/>
        <x:v>6.6386181731942348E-4</x:v>
      </x:c>
      <x:c r="AB237" s="60">
        <x:f t="shared" si="204"/>
        <x:v>0.99933613818268052</x:v>
      </x:c>
      <x:c r="AC237" s="50">
        <x:f t="shared" si="205"/>
        <x:v>150588219.36226925</x:v>
      </x:c>
      <x:c r="AD237" s="62">
        <x:f t="shared" si="206"/>
        <x:v>226686104950.19275</x:v>
      </x:c>
      <x:c r="AF237" s="44">
        <x:v>92</x:v>
      </x:c>
      <x:c r="AG237" s="58">
        <x:f t="shared" si="220"/>
        <x:v>48822</x:v>
      </x:c>
      <x:c r="AH237" s="88">
        <x:f t="shared" si="207"/>
        <x:v>2.6786544762660605E-7</x:v>
      </x:c>
      <x:c r="AI237" s="60">
        <x:f t="shared" si="208"/>
        <x:v>0.9999997321345524</x:v>
      </x:c>
      <x:c r="AJ237" s="50">
        <x:f t="shared" si="209"/>
        <x:v>9594.5236327482016</x:v>
      </x:c>
      <x:c r="AK237" s="62">
        <x:f t="shared" si="210"/>
        <x:v>35818434769.090561</x:v>
      </x:c>
      <x:c r="AM237" s="44">
        <x:v>92</x:v>
      </x:c>
      <x:c r="AN237" s="58">
        <x:f t="shared" si="221"/>
        <x:v>48822</x:v>
      </x:c>
      <x:c r="AO237" s="88">
        <x:f t="shared" si="211"/>
        <x:v>0.27502904060264705</x:v>
      </x:c>
      <x:c r="AP237" s="60">
        <x:f t="shared" si="212"/>
        <x:v>0.72497095939735301</x:v>
      </x:c>
      <x:c r="AQ237" s="50">
        <x:f t="shared" si="213"/>
        <x:v>140228718971.32217</x:v>
      </x:c>
      <x:c r="AR237" s="62">
        <x:f t="shared" si="214"/>
        <x:v>369640052210.26379</x:v>
      </x:c>
    </x:row>
    <x:row r="238">
      <x:c r="B238" s="44">
        <x:v>93</x:v>
      </x:c>
      <x:c r="C238" s="58">
        <x:f t="shared" si="215"/>
        <x:v>48852</x:v>
      </x:c>
      <x:c r="D238" s="88">
        <x:f t="shared" si="191"/>
        <x:v>6.1042238726417212E-14</x:v>
      </x:c>
      <x:c r="E238" s="60">
        <x:f t="shared" si="192"/>
        <x:v>0.99999999999993894</x:v>
      </x:c>
      <x:c r="F238" s="50">
        <x:f t="shared" si="193"/>
        <x:v>2.4920084724462305E-2</x:v>
      </x:c>
      <x:c r="G238" s="62">
        <x:f t="shared" si="194"/>
        <x:v>408243295861.88873</x:v>
      </x:c>
      <x:c r="J238" s="44">
        <x:f t="shared" si="216"/>
        <x:v>93</x:v>
      </x:c>
      <x:c r="K238" s="58">
        <x:f t="shared" si="217"/>
        <x:v>48852</x:v>
      </x:c>
      <x:c r="L238" s="88">
        <x:f t="shared" si="195"/>
        <x:v>6.8711978377907673E-34</x:v>
      </x:c>
      <x:c r="M238" s="60">
        <x:f t="shared" si="196"/>
        <x:v>1</x:v>
      </x:c>
      <x:c r="N238" s="50">
        <x:f t="shared" si="197"/>
        <x:v>7.3895952647851523E-25</x:v>
      </x:c>
      <x:c r="O238" s="62">
        <x:f t="shared" si="198"/>
        <x:v>1075444986.3375001</x:v>
      </x:c>
      <x:c r="R238" s="44">
        <x:v>93</x:v>
      </x:c>
      <x:c r="S238" s="58">
        <x:f t="shared" si="218"/>
        <x:v>48852</x:v>
      </x:c>
      <x:c r="T238" s="88">
        <x:f t="shared" si="199"/>
        <x:v>5.9091568074969811E-25</x:v>
      </x:c>
      <x:c r="U238" s="60">
        <x:f t="shared" si="200"/>
        <x:v>1</x:v>
      </x:c>
      <x:c r="V238" s="50">
        <x:f t="shared" si="201"/>
        <x:v>8.5260983561757141E-17</x:v>
      </x:c>
      <x:c r="W238" s="62">
        <x:f t="shared" si="202"/>
        <x:v>144286209.25</x:v>
      </x:c>
      <x:c r="Y238" s="44">
        <x:v>93</x:v>
      </x:c>
      <x:c r="Z238" s="58">
        <x:f t="shared" si="219"/>
        <x:v>48852</x:v>
      </x:c>
      <x:c r="AA238" s="88">
        <x:f t="shared" si="203"/>
        <x:v>6.1310528061955577E-4</x:v>
      </x:c>
      <x:c r="AB238" s="60">
        <x:f t="shared" si="204"/>
        <x:v>0.99938689471938047</x:v>
      </x:c>
      <x:c r="AC238" s="50">
        <x:f t="shared" si="205"/>
        <x:v>139074774.42053211</x:v>
      </x:c>
      <x:c r="AD238" s="62">
        <x:f t="shared" si="206"/>
        <x:v>226697618395.13449</x:v>
      </x:c>
      <x:c r="AF238" s="44">
        <x:v>93</x:v>
      </x:c>
      <x:c r="AG238" s="58">
        <x:f t="shared" si="220"/>
        <x:v>48852</x:v>
      </x:c>
      <x:c r="AH238" s="88">
        <x:f t="shared" si="207"/>
        <x:v>2.2723802646969502E-7</x:v>
      </x:c>
      <x:c r="AI238" s="60">
        <x:f t="shared" si="208"/>
        <x:v>0.99999977276197349</x:v>
      </x:c>
      <x:c r="AJ238" s="50">
        <x:f t="shared" si="209"/>
        <x:v>8139.3126084022615</x:v>
      </x:c>
      <x:c r="AK238" s="62">
        <x:f t="shared" si="210"/>
        <x:v>35818436224.30159</x:v>
      </x:c>
      <x:c r="AM238" s="44">
        <x:v>93</x:v>
      </x:c>
      <x:c r="AN238" s="58">
        <x:f t="shared" si="221"/>
        <x:v>48852</x:v>
      </x:c>
      <x:c r="AO238" s="88">
        <x:f t="shared" si="211"/>
        <x:v>0.27119697593403774</x:v>
      </x:c>
      <x:c r="AP238" s="60">
        <x:f t="shared" si="212"/>
        <x:v>0.7288030240659622</x:v>
      </x:c>
      <x:c r="AQ238" s="50">
        <x:f t="shared" si="213"/>
        <x:v>138274868867.64996</x:v>
      </x:c>
      <x:c r="AR238" s="62">
        <x:f t="shared" si="214"/>
        <x:v>371593902313.93604</x:v>
      </x:c>
    </x:row>
    <x:row r="239">
      <x:c r="B239" s="44">
        <x:v>94</x:v>
      </x:c>
      <x:c r="C239" s="58">
        <x:f t="shared" si="215"/>
        <x:v>48883</x:v>
      </x:c>
      <x:c r="D239" s="88">
        <x:f t="shared" si="191"/>
        <x:v>4.4008894360166825E-14</x:v>
      </x:c>
      <x:c r="E239" s="60">
        <x:f t="shared" si="192"/>
        <x:v>0.99999999999995604</x:v>
      </x:c>
      <x:c r="F239" s="50">
        <x:f t="shared" si="193"/>
        <x:v>1.7966336080833287E-2</x:v>
      </x:c>
      <x:c r="G239" s="62">
        <x:f t="shared" si="194"/>
        <x:v>408243295861.89569</x:v>
      </x:c>
      <x:c r="J239" s="44">
        <x:f t="shared" si="216"/>
        <x:v>94</x:v>
      </x:c>
      <x:c r="K239" s="58">
        <x:f t="shared" si="217"/>
        <x:v>48883</x:v>
      </x:c>
      <x:c r="L239" s="88">
        <x:f t="shared" si="195"/>
        <x:v>3.023022671140773E-34</x:v>
      </x:c>
      <x:c r="M239" s="60">
        <x:f t="shared" si="196"/>
        <x:v>1</x:v>
      </x:c>
      <x:c r="N239" s="50">
        <x:f t="shared" si="197"/>
        <x:v>3.2510945752629416E-25</x:v>
      </x:c>
      <x:c r="O239" s="62">
        <x:f t="shared" si="198"/>
        <x:v>1075444986.3375001</x:v>
      </x:c>
      <x:c r="R239" s="44">
        <x:v>94</x:v>
      </x:c>
      <x:c r="S239" s="58">
        <x:f t="shared" si="218"/>
        <x:v>48883</x:v>
      </x:c>
      <x:c r="T239" s="88">
        <x:f t="shared" si="199"/>
        <x:v>3.2434281651739514E-25</x:v>
      </x:c>
      <x:c r="U239" s="60">
        <x:f t="shared" si="200"/>
        <x:v>1</x:v>
      </x:c>
      <x:c r="V239" s="50">
        <x:f t="shared" si="201"/>
        <x:v>4.679819549276323E-17</x:v>
      </x:c>
      <x:c r="W239" s="62">
        <x:f t="shared" si="202"/>
        <x:v>144286209.25</x:v>
      </x:c>
      <x:c r="Y239" s="44">
        <x:v>94</x:v>
      </x:c>
      <x:c r="Z239" s="58">
        <x:f t="shared" si="219"/>
        <x:v>48883</x:v>
      </x:c>
      <x:c r="AA239" s="88">
        <x:f t="shared" si="203"/>
        <x:v>5.6622940997180034E-4</x:v>
      </x:c>
      <x:c r="AB239" s="60">
        <x:f t="shared" si="204"/>
        <x:v>0.99943377059002825</x:v>
      </x:c>
      <x:c r="AC239" s="50">
        <x:f t="shared" si="205"/>
        <x:v>128441606.93335146</x:v>
      </x:c>
      <x:c r="AD239" s="62">
        <x:f t="shared" si="206"/>
        <x:v>226708251562.62167</x:v>
      </x:c>
      <x:c r="AF239" s="44">
        <x:v>94</x:v>
      </x:c>
      <x:c r="AG239" s="58">
        <x:f t="shared" si="220"/>
        <x:v>48883</x:v>
      </x:c>
      <x:c r="AH239" s="88">
        <x:f t="shared" si="207"/>
        <x:v>1.9277260703598451E-7</x:v>
      </x:c>
      <x:c r="AI239" s="60">
        <x:f t="shared" si="208"/>
        <x:v>0.99999980722739301</x:v>
      </x:c>
      <x:c r="AJ239" s="50">
        <x:f t="shared" si="209"/>
        <x:v>6904.8148999472733</x:v>
      </x:c>
      <x:c r="AK239" s="62">
        <x:f t="shared" si="210"/>
        <x:v>35818437458.799294</x:v>
      </x:c>
      <x:c r="AM239" s="44">
        <x:v>94</x:v>
      </x:c>
      <x:c r="AN239" s="58">
        <x:f t="shared" si="221"/>
        <x:v>48883</x:v>
      </x:c>
      <x:c r="AO239" s="88">
        <x:f t="shared" si="211"/>
        <x:v>0.26741830460742694</x:v>
      </x:c>
      <x:c r="AP239" s="60">
        <x:f t="shared" si="212"/>
        <x:v>0.73258169539257301</x:v>
      </x:c>
      <x:c r="AQ239" s="50">
        <x:f t="shared" si="213"/>
        <x:v>136348242361.65182</x:v>
      </x:c>
      <x:c r="AR239" s="62">
        <x:f t="shared" si="214"/>
        <x:v>373520528819.9342</x:v>
      </x:c>
    </x:row>
    <x:row r="240">
      <x:c r="B240" s="44">
        <x:v>95</x:v>
      </x:c>
      <x:c r="C240" s="58">
        <x:f t="shared" si="215"/>
        <x:v>48913</x:v>
      </x:c>
      <x:c r="D240" s="88">
        <x:f t="shared" si="191"/>
        <x:v>3.1728567352922839E-14</x:v>
      </x:c>
      <x:c r="E240" s="60">
        <x:f t="shared" si="192"/>
        <x:v>0.99999999999996825</x:v>
      </x:c>
      <x:c r="F240" s="50">
        <x:f t="shared" si="193"/>
        <x:v>1.2952974909133932E-2</x:v>
      </x:c>
      <x:c r="G240" s="62">
        <x:f t="shared" si="194"/>
        <x:v>408243295861.9007</x:v>
      </x:c>
      <x:c r="J240" s="44">
        <x:f t="shared" si="216"/>
        <x:v>95</x:v>
      </x:c>
      <x:c r="K240" s="58">
        <x:f t="shared" si="217"/>
        <x:v>48913</x:v>
      </x:c>
      <x:c r="L240" s="88">
        <x:f t="shared" si="195"/>
        <x:v>1.3299960626907573E-34</x:v>
      </x:c>
      <x:c r="M240" s="60">
        <x:f t="shared" si="196"/>
        <x:v>1</x:v>
      </x:c>
      <x:c r="N240" s="50">
        <x:f t="shared" si="197"/>
        <x:v>1.4303375974693903E-25</x:v>
      </x:c>
      <x:c r="O240" s="62">
        <x:f t="shared" si="198"/>
        <x:v>1075444986.3375001</x:v>
      </x:c>
      <x:c r="R240" s="44">
        <x:v>95</x:v>
      </x:c>
      <x:c r="S240" s="58">
        <x:f t="shared" si="218"/>
        <x:v>48913</x:v>
      </x:c>
      <x:c r="T240" s="88">
        <x:f t="shared" si="199"/>
        <x:v>1.7802584370915703E-25</x:v>
      </x:c>
      <x:c r="U240" s="60">
        <x:f t="shared" si="200"/>
        <x:v>1</x:v>
      </x:c>
      <x:c r="V240" s="50">
        <x:f t="shared" si="201"/>
        <x:v>2.5686674137327228E-17</x:v>
      </x:c>
      <x:c r="W240" s="62">
        <x:f t="shared" si="202"/>
        <x:v>144286209.25</x:v>
      </x:c>
      <x:c r="Y240" s="44">
        <x:v>95</x:v>
      </x:c>
      <x:c r="Z240" s="58">
        <x:f t="shared" si="219"/>
        <x:v>48913</x:v>
      </x:c>
      <x:c r="AA240" s="88">
        <x:f t="shared" si="203"/>
        <x:v>5.2293750331594633E-4</x:v>
      </x:c>
      <x:c r="AB240" s="60">
        <x:f t="shared" si="204"/>
        <x:v>0.999477062496684</x:v>
      </x:c>
      <x:c r="AC240" s="50">
        <x:f t="shared" si="205"/>
        <x:v>118621413.98653248</x:v>
      </x:c>
      <x:c r="AD240" s="62">
        <x:f t="shared" si="206"/>
        <x:v>226718071755.56848</x:v>
      </x:c>
      <x:c r="AF240" s="44">
        <x:v>95</x:v>
      </x:c>
      <x:c r="AG240" s="58">
        <x:f t="shared" si="220"/>
        <x:v>48913</x:v>
      </x:c>
      <x:c r="AH240" s="88">
        <x:f t="shared" si="207"/>
        <x:v>1.6353459234256293E-7</x:v>
      </x:c>
      <x:c r="AI240" s="60">
        <x:f t="shared" si="208"/>
        <x:v>0.99999983646540769</x:v>
      </x:c>
      <x:c r="AJ240" s="50">
        <x:f t="shared" si="209"/>
        <x:v>5857.5546973484188</x:v>
      </x:c>
      <x:c r="AK240" s="62">
        <x:f t="shared" si="210"/>
        <x:v>35818438506.059502</x:v>
      </x:c>
      <x:c r="AM240" s="44">
        <x:v>95</x:v>
      </x:c>
      <x:c r="AN240" s="58">
        <x:f t="shared" si="221"/>
        <x:v>48913</x:v>
      </x:c>
      <x:c r="AO240" s="88">
        <x:f t="shared" si="211"/>
        <x:v>0.26369228267686989</x:v>
      </x:c>
      <x:c r="AP240" s="60">
        <x:f t="shared" si="212"/>
        <x:v>0.73630771732313005</x:v>
      </x:c>
      <x:c r="AQ240" s="50">
        <x:f t="shared" si="213"/>
        <x:v>134448460138.52307</x:v>
      </x:c>
      <x:c r="AR240" s="62">
        <x:f t="shared" si="214"/>
        <x:v>375420311043.06293</x:v>
      </x:c>
    </x:row>
    <x:row r="241">
      <x:c r="B241" s="44">
        <x:v>96</x:v>
      </x:c>
      <x:c r="C241" s="58">
        <x:f t="shared" si="215"/>
        <x:v>48944</x:v>
      </x:c>
      <x:c r="D241" s="88">
        <x:f t="shared" si="191"/>
        <x:v>2.2874966547220138E-14</x:v>
      </x:c>
      <x:c r="E241" s="60">
        <x:f t="shared" si="192"/>
        <x:v>0.99999999999997713</x:v>
      </x:c>
      <x:c r="F241" s="50">
        <x:f t="shared" si="193"/>
        <x:v>9.3385517359681671E-3</x:v>
      </x:c>
      <x:c r="G241" s="62">
        <x:f t="shared" si="194"/>
        <x:v>408243295861.9043</x:v>
      </x:c>
      <x:c r="J241" s="44">
        <x:f t="shared" si="216"/>
        <x:v>96</x:v>
      </x:c>
      <x:c r="K241" s="58">
        <x:f t="shared" si="217"/>
        <x:v>48944</x:v>
      </x:c>
      <x:c r="L241" s="88">
        <x:f t="shared" si="195"/>
        <x:v>5.8513935196702667E-35</x:v>
      </x:c>
      <x:c r="M241" s="60">
        <x:f t="shared" si="196"/>
        <x:v>1</x:v>
      </x:c>
      <x:c r="N241" s="50">
        <x:f t="shared" si="197"/>
        <x:v>6.2928518238171267E-26</x:v>
      </x:c>
      <x:c r="O241" s="62">
        <x:f t="shared" si="198"/>
        <x:v>1075444986.3375001</x:v>
      </x:c>
      <x:c r="R241" s="44">
        <x:v>96</x:v>
      </x:c>
      <x:c r="S241" s="58">
        <x:f t="shared" si="218"/>
        <x:v>48944</x:v>
      </x:c>
      <x:c r="T241" s="88">
        <x:f t="shared" si="199"/>
        <x:v>9.7715131688934561E-26</x:v>
      </x:c>
      <x:c r="U241" s="60">
        <x:f t="shared" si="200"/>
        <x:v>1</x:v>
      </x:c>
      <x:c r="V241" s="50">
        <x:f t="shared" si="201"/>
        <x:v>1.4098945937760918E-17</x:v>
      </x:c>
      <x:c r="W241" s="62">
        <x:f t="shared" si="202"/>
        <x:v>144286209.25</x:v>
      </x:c>
      <x:c r="Y241" s="44">
        <x:v>96</x:v>
      </x:c>
      <x:c r="Z241" s="58">
        <x:f t="shared" si="219"/>
        <x:v>48944</x:v>
      </x:c>
      <x:c r="AA241" s="88">
        <x:f t="shared" si="203"/>
        <x:v>4.8295554338644215E-4</x:v>
      </x:c>
      <x:c r="AB241" s="60">
        <x:f t="shared" si="204"/>
        <x:v>0.9995170444566136</x:v>
      </x:c>
      <x:c r="AC241" s="50">
        <x:f t="shared" si="205"/>
        <x:v>109552038.4096861</x:v>
      </x:c>
      <x:c r="AD241" s="62">
        <x:f t="shared" si="206"/>
        <x:v>226727141131.14532</x:v>
      </x:c>
      <x:c r="AF241" s="44">
        <x:v>96</x:v>
      </x:c>
      <x:c r="AG241" s="58">
        <x:f t="shared" si="220"/>
        <x:v>48944</x:v>
      </x:c>
      <x:c r="AH241" s="88">
        <x:f t="shared" si="207"/>
        <x:v>1.3873113666847919E-7</x:v>
      </x:c>
      <x:c r="AI241" s="60">
        <x:f t="shared" si="208"/>
        <x:v>0.99999986126886331</x:v>
      </x:c>
      <x:c r="AJ241" s="50">
        <x:f t="shared" si="209"/>
        <x:v>4969.1335002608794</x:v>
      </x:c>
      <x:c r="AK241" s="62">
        <x:f t="shared" si="210"/>
        <x:v>35818439394.480698</x:v>
      </x:c>
      <x:c r="AM241" s="44">
        <x:v>96</x:v>
      </x:c>
      <x:c r="AN241" s="58">
        <x:f t="shared" si="221"/>
        <x:v>48944</x:v>
      </x:c>
      <x:c r="AO241" s="88">
        <x:f t="shared" si="211"/>
        <x:v>0.26001817656205101</x:v>
      </x:c>
      <x:c r="AP241" s="60">
        <x:f t="shared" si="212"/>
        <x:v>0.73998182343794894</x:v>
      </x:c>
      <x:c r="AQ241" s="50">
        <x:f t="shared" si="213"/>
        <x:v>132575148168.56961</x:v>
      </x:c>
      <x:c r="AR241" s="62">
        <x:f t="shared" si="214"/>
        <x:v>377293623013.01636</x:v>
      </x:c>
    </x:row>
    <x:row r="242">
      <x:c r="B242" s="44">
        <x:v>97</x:v>
      </x:c>
      <x:c r="C242" s="58">
        <x:f t="shared" si="215"/>
        <x:v>48975</x:v>
      </x:c>
      <x:c r="D242" s="88">
        <x:f t="shared" si="191"/>
        <x:v>1.6491891635574813E-14</x:v>
      </x:c>
      <x:c r="E242" s="60" t="n">
        <x:f t="shared" ref="E242:E245" si="222">1-D242</x:f>
        <x:v>0.9999999999999835</x:v>
      </x:c>
      <x:c r="F242" s="50">
        <x:f t="shared" si="193"/>
        <x:v>6.7327041963045871E-3</x:v>
      </x:c>
      <x:c r="G242" s="62" t="n">
        <x:f t="shared" ref="G242:G245" si="223">$C$139-F242</x:f>
        <x:v>408243295861.9069</x:v>
      </x:c>
      <x:c r="J242" s="44">
        <x:f t="shared" si="216"/>
        <x:v>97</x:v>
      </x:c>
      <x:c r="K242" s="58">
        <x:f t="shared" si="217"/>
        <x:v>48975</x:v>
      </x:c>
      <x:c r="L242" s="88">
        <x:f t="shared" si="195"/>
        <x:v>2.5743539460387253E-35</x:v>
      </x:c>
      <x:c r="M242" s="60" t="n">
        <x:f t="shared" ref="M242:M245" si="224">1-L242</x:f>
        <x:v>1</x:v>
      </x:c>
      <x:c r="N242" s="50">
        <x:f t="shared" si="197"/>
        <x:v>2.7685760443255065E-26</x:v>
      </x:c>
      <x:c r="O242" s="62" t="n">
        <x:f t="shared" ref="O242:O245" si="225">$K$139-N242</x:f>
        <x:v>1075444986.3375</x:v>
      </x:c>
      <x:c r="R242" s="44">
        <x:v>97</x:v>
      </x:c>
      <x:c r="S242" s="58">
        <x:f t="shared" si="218"/>
        <x:v>48975</x:v>
      </x:c>
      <x:c r="T242" s="88">
        <x:f t="shared" si="199"/>
        <x:v>5.3634049765184527E-26</x:v>
      </x:c>
      <x:c r="U242" s="60" t="n">
        <x:f t="shared" ref="U242:U245" si="226">1-T242</x:f>
        <x:v>1</x:v>
      </x:c>
      <x:c r="V242" s="50">
        <x:f t="shared" si="201"/>
        <x:v>7.7386537273443286E-18</x:v>
      </x:c>
      <x:c r="W242" s="62" t="n">
        <x:f t="shared" ref="W242:W245" si="227">$S$139-V242</x:f>
        <x:v>144286209.25</x:v>
      </x:c>
      <x:c r="Y242" s="44">
        <x:v>97</x:v>
      </x:c>
      <x:c r="Z242" s="58">
        <x:f t="shared" si="219"/>
        <x:v>48975</x:v>
      </x:c>
      <x:c r="AA242" s="88">
        <x:f t="shared" si="203"/>
        <x:v>4.4603046331288262E-4</x:v>
      </x:c>
      <x:c r="AB242" s="60" t="n">
        <x:f t="shared" ref="AB242:AB245" si="228">1-AA242</x:f>
        <x:v>0.9995539695366871</x:v>
      </x:c>
      <x:c r="AC242" s="50">
        <x:f t="shared" si="205"/>
        <x:v>101176075.35077882</x:v>
      </x:c>
      <x:c r="AD242" s="62" t="n">
        <x:f t="shared" ref="AD242:AD245" si="229">$Z$139-AC242</x:f>
        <x:v>226735517094.20425</x:v>
      </x:c>
      <x:c r="AF242" s="44">
        <x:v>97</x:v>
      </x:c>
      <x:c r="AG242" s="58">
        <x:f t="shared" si="220"/>
        <x:v>48975</x:v>
      </x:c>
      <x:c r="AH242" s="88">
        <x:f t="shared" si="207"/>
        <x:v>1.176896459986409E-7</x:v>
      </x:c>
      <x:c r="AI242" s="60" t="n">
        <x:f t="shared" ref="AI242:AI245" si="230">1-AH242</x:f>
        <x:v>0.999999882310354</x:v>
      </x:c>
      <x:c r="AJ242" s="50">
        <x:f t="shared" si="209"/>
        <x:v>4215.4600373757694</x:v>
      </x:c>
      <x:c r="AK242" s="62" t="n">
        <x:f t="shared" ref="AK242:AK245" si="231">$AG$139-AJ242</x:f>
        <x:v>35818440148.15416</x:v>
      </x:c>
      <x:c r="AM242" s="44">
        <x:v>97</x:v>
      </x:c>
      <x:c r="AN242" s="58">
        <x:f t="shared" si="221"/>
        <x:v>48975</x:v>
      </x:c>
      <x:c r="AO242" s="88">
        <x:f t="shared" si="211"/>
        <x:v>0.25639526290385578</x:v>
      </x:c>
      <x:c r="AP242" s="60" t="n">
        <x:f t="shared" ref="AP242:AP245" si="232">1-AO242</x:f>
        <x:v>0.7436047370961443</x:v>
      </x:c>
      <x:c r="AQ242" s="50">
        <x:f t="shared" si="213"/>
        <x:v>130727937633.56863</x:v>
      </x:c>
      <x:c r="AR242" s="62" t="n">
        <x:f t="shared" ref="AR242:AR245" si="233">$AN$139-AQ242</x:f>
        <x:v>379140833548.01733</x:v>
      </x:c>
    </x:row>
    <x:row r="243">
      <x:c r="B243" s="44">
        <x:v>98</x:v>
      </x:c>
      <x:c r="C243" s="58">
        <x:f t="shared" si="215"/>
        <x:v>49003</x:v>
      </x:c>
      <x:c r="D243" s="88">
        <x:f t="shared" si="191"/>
        <x:v>1.1889962293850655E-14</x:v>
      </x:c>
      <x:c r="E243" s="60">
        <x:f t="shared" si="222"/>
        <x:v>0.99999999999998812</x:v>
      </x:c>
      <x:c r="F243" s="50">
        <x:f t="shared" si="193"/>
        <x:v>4.8539973945154703E-3</x:v>
      </x:c>
      <x:c r="G243" s="62">
        <x:f t="shared" si="223"/>
        <x:v>408243295861.90875</x:v>
      </x:c>
      <x:c r="J243" s="44">
        <x:f t="shared" si="216"/>
        <x:v>98</x:v>
      </x:c>
      <x:c r="K243" s="58">
        <x:f t="shared" si="217"/>
        <x:v>49003</x:v>
      </x:c>
      <x:c r="L243" s="88">
        <x:f t="shared" si="195"/>
        <x:v>1.1326016985879492E-35</x:v>
      </x:c>
      <x:c r="M243" s="60">
        <x:f t="shared" si="224"/>
        <x:v>1</x:v>
      </x:c>
      <x:c r="N243" s="50">
        <x:f t="shared" si="197"/>
        <x:v>1.2180508182637464E-26</x:v>
      </x:c>
      <x:c r="O243" s="62">
        <x:f t="shared" si="225"/>
        <x:v>1075444986.3375001</x:v>
      </x:c>
      <x:c r="R243" s="44">
        <x:v>98</x:v>
      </x:c>
      <x:c r="S243" s="58">
        <x:f t="shared" si="218"/>
        <x:v>49003</x:v>
      </x:c>
      <x:c r="T243" s="88">
        <x:f t="shared" si="199"/>
        <x:v>2.9438749602995449E-26</x:v>
      </x:c>
      <x:c r="U243" s="60">
        <x:f t="shared" si="226"/>
        <x:v>1</x:v>
      </x:c>
      <x:c r="V243" s="50">
        <x:f t="shared" si="201"/>
        <x:v>4.2476055852761559E-18</x:v>
      </x:c>
      <x:c r="W243" s="62">
        <x:f t="shared" si="227"/>
        <x:v>144286209.25</x:v>
      </x:c>
      <x:c r="Y243" s="44">
        <x:v>98</x:v>
      </x:c>
      <x:c r="Z243" s="58">
        <x:f t="shared" si="219"/>
        <x:v>49003</x:v>
      </x:c>
      <x:c r="AA243" s="88">
        <x:f t="shared" si="203"/>
        <x:v>4.1192854482657458E-4</x:v>
      </x:c>
      <x:c r="AB243" s="60">
        <x:f t="shared" si="228"/>
        <x:v>0.99958807145517348</x:v>
      </x:c>
      <x:c r="AC243" s="50">
        <x:f t="shared" si="205"/>
        <x:v>93440508.930606991</x:v>
      </x:c>
      <x:c r="AD243" s="62">
        <x:f t="shared" si="229"/>
        <x:v>226743252660.62442</x:v>
      </x:c>
      <x:c r="AF243" s="44">
        <x:v>98</x:v>
      </x:c>
      <x:c r="AG243" s="58">
        <x:f t="shared" si="220"/>
        <x:v>49003</x:v>
      </x:c>
      <x:c r="AH243" s="88">
        <x:f t="shared" si="207"/>
        <x:v>9.9839539326952237E-8</x:v>
      </x:c>
      <x:c r="AI243" s="60">
        <x:f t="shared" si="230"/>
        <x:v>0.9999999001604607</x:v>
      </x:c>
      <x:c r="AJ243" s="50">
        <x:f t="shared" si="209"/>
        <x:v>3576.0969846713101</x:v>
      </x:c>
      <x:c r="AK243" s="62">
        <x:f t="shared" si="231"/>
        <x:v>35818440787.517212</x:v>
      </x:c>
      <x:c r="AM243" s="44">
        <x:v>98</x:v>
      </x:c>
      <x:c r="AN243" s="58">
        <x:f t="shared" si="221"/>
        <x:v>49003</x:v>
      </x:c>
      <x:c r="AO243" s="88">
        <x:f t="shared" si="211"/>
        <x:v>0.25282282842195625</x:v>
      </x:c>
      <x:c r="AP243" s="60">
        <x:f t="shared" si="232"/>
        <x:v>0.74717717157804375</x:v>
      </x:c>
      <x:c r="AQ243" s="50">
        <x:f t="shared" si="213"/>
        <x:v>128906464854.15579</x:v>
      </x:c>
      <x:c r="AR243" s="62">
        <x:f t="shared" si="233"/>
        <x:v>380962306327.43018</x:v>
      </x:c>
    </x:row>
    <x:row r="244">
      <x:c r="B244" s="44">
        <x:v>99</x:v>
      </x:c>
      <x:c r="C244" s="58">
        <x:f t="shared" si="215"/>
        <x:v>49034</x:v>
      </x:c>
      <x:c r="D244" s="88">
        <x:f t="shared" si="191"/>
        <x:v>8.5721642170045059E-15</x:v>
      </x:c>
      <x:c r="E244" s="60">
        <x:f t="shared" si="222"/>
        <x:v>0.99999999999999145</x:v>
      </x:c>
      <x:c r="F244" s="50">
        <x:f t="shared" si="193"/>
        <x:v>3.4995285726194796E-3</x:v>
      </x:c>
      <x:c r="G244" s="62">
        <x:f t="shared" si="223"/>
        <x:v>408243295861.91016</x:v>
      </x:c>
      <x:c r="J244" s="44">
        <x:f t="shared" si="216"/>
        <x:v>99</x:v>
      </x:c>
      <x:c r="K244" s="58">
        <x:f t="shared" si="217"/>
        <x:v>49034</x:v>
      </x:c>
      <x:c r="L244" s="88">
        <x:f t="shared" si="195"/>
        <x:v>4.9829457585589874E-36</x:v>
      </x:c>
      <x:c r="M244" s="60">
        <x:f t="shared" si="224"/>
        <x:v>1</x:v>
      </x:c>
      <x:c r="N244" s="50">
        <x:f t="shared" si="197"/>
        <x:v>5.3588840332339744E-27</x:v>
      </x:c>
      <x:c r="O244" s="62">
        <x:f t="shared" si="225"/>
        <x:v>1075444986.3375001</x:v>
      </x:c>
      <x:c r="R244" s="44">
        <x:v>99</x:v>
      </x:c>
      <x:c r="S244" s="58">
        <x:f t="shared" si="218"/>
        <x:v>49034</x:v>
      </x:c>
      <x:c r="T244" s="88">
        <x:f t="shared" si="199"/>
        <x:v>1.6158391581133836E-26</x:v>
      </x:c>
      <x:c r="U244" s="60">
        <x:f t="shared" si="226"/>
        <x:v>1</x:v>
      </x:c>
      <x:c r="V244" s="50">
        <x:f t="shared" si="201"/>
        <x:v>2.3314330688189148E-18</x:v>
      </x:c>
      <x:c r="W244" s="62">
        <x:f t="shared" si="227"/>
        <x:v>144286209.25</x:v>
      </x:c>
      <x:c r="Y244" s="44">
        <x:v>99</x:v>
      </x:c>
      <x:c r="Z244" s="58">
        <x:f t="shared" si="219"/>
        <x:v>49034</x:v>
      </x:c>
      <x:c r="AA244" s="88">
        <x:f t="shared" si="203"/>
        <x:v>3.8043393893458818E-4</x:v>
      </x:c>
      <x:c r="AB244" s="60">
        <x:f t="shared" si="228"/>
        <x:v>0.99961956606106539</x:v>
      </x:c>
      <x:c r="AC244" s="50">
        <x:f t="shared" si="205"/>
        <x:v>86296376.677390411</x:v>
      </x:c>
      <x:c r="AD244" s="62">
        <x:f t="shared" si="229"/>
        <x:v>226750396792.87762</x:v>
      </x:c>
      <x:c r="AF244" s="44">
        <x:v>99</x:v>
      </x:c>
      <x:c r="AG244" s="58">
        <x:f t="shared" si="220"/>
        <x:v>49034</x:v>
      </x:c>
      <x:c r="AH244" s="88">
        <x:f t="shared" si="207"/>
        <x:v>8.4696776240903584E-8</x:v>
      </x:c>
      <x:c r="AI244" s="60">
        <x:f t="shared" si="230"/>
        <x:v>0.99999991530322374</x:v>
      </x:c>
      <x:c r="AJ244" s="50">
        <x:f t="shared" si="209"/>
        <x:v>3033.7067675622857</x:v>
      </x:c>
      <x:c r="AK244" s="62">
        <x:f t="shared" si="231"/>
        <x:v>35818441329.907433</x:v>
      </x:c>
      <x:c r="AM244" s="44">
        <x:v>99</x:v>
      </x:c>
      <x:c r="AN244" s="58">
        <x:f t="shared" si="221"/>
        <x:v>49034</x:v>
      </x:c>
      <x:c r="AO244" s="88">
        <x:f t="shared" si="211"/>
        <x:v>0.24930016977437949</x:v>
      </x:c>
      <x:c r="AP244" s="60">
        <x:f t="shared" si="232"/>
        <x:v>0.75069983022562048</x:v>
      </x:c>
      <x:c r="AQ244" s="50">
        <x:f t="shared" si="213"/>
        <x:v>127110371218.22363</x:v>
      </x:c>
      <x:c r="AR244" s="62">
        <x:f t="shared" si="233"/>
        <x:v>382758399963.36237</x:v>
      </x:c>
    </x:row>
    <x:row r="245">
      <x:c r="B245" s="45">
        <x:v>100</x:v>
      </x:c>
      <x:c r="C245" s="59">
        <x:f t="shared" si="215"/>
        <x:v>49064</x:v>
      </x:c>
      <x:c r="D245" s="89">
        <x:f t="shared" si="191"/>
        <x:v>6.180170933031173E-15</x:v>
      </x:c>
      <x:c r="E245" s="61">
        <x:f t="shared" si="222"/>
        <x:v>0.99999999999999378</x:v>
      </x:c>
      <x:c r="F245" s="51">
        <x:f t="shared" si="193"/>
        <x:v>2.5230133506906438E-3</x:v>
      </x:c>
      <x:c r="G245" s="63">
        <x:f t="shared" si="223"/>
        <x:v>408243295861.91113</x:v>
      </x:c>
      <x:c r="J245" s="45">
        <x:f t="shared" si="216"/>
        <x:v>100</x:v>
      </x:c>
      <x:c r="K245" s="59">
        <x:f t="shared" si="217"/>
        <x:v>49064</x:v>
      </x:c>
      <x:c r="L245" s="89">
        <x:f t="shared" si="195"/>
        <x:v>2.1922754012904136E-36</x:v>
      </x:c>
      <x:c r="M245" s="61">
        <x:f t="shared" si="224"/>
        <x:v>1</x:v>
      </x:c>
      <x:c r="N245" s="51">
        <x:f t="shared" si="197"/>
        <x:v>2.3576715889888065E-27</x:v>
      </x:c>
      <x:c r="O245" s="63">
        <x:f t="shared" si="225"/>
        <x:v>1075444986.3375001</x:v>
      </x:c>
      <x:c r="R245" s="45">
        <x:v>100</x:v>
      </x:c>
      <x:c r="S245" s="59">
        <x:f t="shared" si="218"/>
        <x:v>49064</x:v>
      </x:c>
      <x:c r="T245" s="89">
        <x:f t="shared" si="199"/>
        <x:v>8.8690457988299937E-27</x:v>
      </x:c>
      <x:c r="U245" s="61">
        <x:f t="shared" si="226"/>
        <x:v>1</x:v>
      </x:c>
      <x:c r="V245" s="51">
        <x:f t="shared" si="201"/>
        <x:v>1.2796809979778179E-18</x:v>
      </x:c>
      <x:c r="W245" s="63">
        <x:f t="shared" si="227"/>
        <x:v>144286209.25</x:v>
      </x:c>
      <x:c r="Y245" s="45">
        <x:v>100</x:v>
      </x:c>
      <x:c r="Z245" s="59">
        <x:f t="shared" si="219"/>
        <x:v>49064</x:v>
      </x:c>
      <x:c r="AA245" s="89">
        <x:f t="shared" si="203"/>
        <x:v>3.5134729969786023E-4</x:v>
      </x:c>
      <x:c r="AB245" s="61">
        <x:f t="shared" si="228"/>
        <x:v>0.99964865270030212</x:v>
      </x:c>
      <x:c r="AC245" s="51">
        <x:f t="shared" si="205"/>
        <x:v>79698459.617515221</x:v>
      </x:c>
      <x:c r="AD245" s="63">
        <x:f t="shared" si="229"/>
        <x:v>226756994709.9375</x:v>
      </x:c>
      <x:c r="AF245" s="45">
        <x:v>100</x:v>
      </x:c>
      <x:c r="AG245" s="59">
        <x:f t="shared" si="220"/>
        <x:v>49064</x:v>
      </x:c>
      <x:c r="AH245" s="89">
        <x:f t="shared" si="207"/>
        <x:v>7.1850731222926938E-8</x:v>
      </x:c>
      <x:c r="AI245" s="61">
        <x:f t="shared" si="230"/>
        <x:v>0.99999992814926875</x:v>
      </x:c>
      <x:c r="AJ245" s="51">
        <x:f t="shared" si="209"/>
        <x:v>2573.5814187934061</x:v>
      </x:c>
      <x:c r="AK245" s="63">
        <x:f t="shared" si="231"/>
        <x:v>35818441790.032776</x:v>
      </x:c>
      <x:c r="AM245" s="45">
        <x:v>100</x:v>
      </x:c>
      <x:c r="AN245" s="59">
        <x:f t="shared" si="221"/>
        <x:v>49064</x:v>
      </x:c>
      <x:c r="AO245" s="89">
        <x:f t="shared" si="211"/>
        <x:v>0.24582659341903407</x:v>
      </x:c>
      <x:c r="AP245" s="61">
        <x:f t="shared" si="232"/>
        <x:v>0.75417340658096599</x:v>
      </x:c>
      <x:c r="AQ245" s="51">
        <x:f t="shared" si="213"/>
        <x:v>125339303110.31825</x:v>
      </x:c>
      <x:c r="AR245" s="63">
        <x:f t="shared" si="233"/>
        <x:v>384529468071.26776</x:v>
      </x:c>
    </x:row>
  </x:sheetData>
  <x:mergeCells>
    <x:mergeCell ref="AG4:AJ4"/>
    <x:mergeCell ref="AF5:AG5"/>
    <x:mergeCell ref="AN4:AP4"/>
    <x:mergeCell ref="AM5:AN5"/>
    <x:mergeCell ref="R4:S4"/>
    <x:mergeCell ref="T4:V4"/>
    <x:mergeCell ref="R5:S5"/>
    <x:mergeCell ref="Z4:AA4"/>
    <x:mergeCell ref="Y5:Z5"/>
    <x:mergeCell ref="B4:C4"/>
    <x:mergeCell ref="D4:F4"/>
    <x:mergeCell ref="B5:C5"/>
    <x:mergeCell ref="J4:K4"/>
    <x:mergeCell ref="L4:N4"/>
    <x:mergeCell ref="J5:K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640625" defaultRowHeight="14"/>
  <x:cols>
    <x:col min="1" max="1" width="14" customWidth="1"/>
    <x:col min="2" max="2" width="34" customWidth="1"/>
    <x:col min="3" max="3" width="22" customWidth="1"/>
    <x:col min="4" max="4" width="18" customWidth="1"/>
    <x:col min="5" max="5" width="14" customWidth="1"/>
    <x:col min="6" max="6" width="12" customWidth="1"/>
    <x:col min="7" max="8" width="14" customWidth="1"/>
    <x:col min="9" max="10" width="17" customWidth="1"/>
    <x:col min="11" max="11" width="20" customWidth="1"/>
    <x:col min="12" max="12" width="10" customWidth="1"/>
  </x:cols>
  <x:sheetData>
    <x:row r="1" ht="16" customHeight="1">
      <x:c r="A1" s="86" t="s">
        <x:v>68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</x:row>
    <x:row r="3">
      <x:c r="A3" s="64" t="s">
        <x:v>69</x:v>
      </x:c>
      <x:c r="B3" s="65" t="s">
        <x:v>70</x:v>
      </x:c>
      <x:c r="C3" s="65" t="s">
        <x:v>38</x:v>
      </x:c>
      <x:c r="D3" s="65" t="s">
        <x:v>44</x:v>
      </x:c>
      <x:c r="E3" s="65" t="s">
        <x:v>20</x:v>
      </x:c>
      <x:c r="F3" s="65" t="s">
        <x:v>71</x:v>
      </x:c>
      <x:c r="G3" s="65" t="s">
        <x:v>72</x:v>
      </x:c>
      <x:c r="H3" s="65" t="s">
        <x:v>73</x:v>
      </x:c>
      <x:c r="I3" s="65" t="s">
        <x:v>74</x:v>
      </x:c>
      <x:c r="J3" s="65" t="s">
        <x:v>75</x:v>
      </x:c>
      <x:c r="K3" s="65" t="s">
        <x:v>76</x:v>
      </x:c>
      <x:c r="L3" s="66" t="s">
        <x:v>77</x:v>
      </x:c>
    </x:row>
    <x:row r="4">
      <x:c r="A4" s="67" t="s">
        <x:v>45</x:v>
      </x:c>
      <x:c r="B4" s="68" t="s">
        <x:v>78</x:v>
      </x:c>
      <x:c r="C4" s="68">
        <x:v>1.2810999999999999E-2</x:v>
      </x:c>
      <x:c r="D4" s="68" t="n">
        <x:f>'Tous détail Stocks'!C6</x:f>
        <x:v>-0.3399853046475706</x:v>
      </x:c>
      <x:c r="E4" s="68" t="n">
        <x:f>'Tous détail Stocks'!H4</x:f>
        <x:v>-0.3271743046475706</x:v>
      </x:c>
      <x:c r="F4" s="68" t="n">
        <x:f>'Tous détail Stocks'!D146</x:f>
        <x:v>0.7209580657322964</x:v>
      </x:c>
      <x:c r="G4" s="68" t="n">
        <x:f>'Tous détail Stocks'!D151</x:f>
        <x:v>0.14043004312839422</x:v>
      </x:c>
      <x:c r="H4" s="68" t="n">
        <x:f>'Tous détail Stocks'!D157</x:f>
        <x:v>0.019720597013042664</x:v>
      </x:c>
      <x:c r="I4" s="68">
        <x:v>5.5511151231257827E-17</x:v>
      </x:c>
      <x:c r="J4" s="68">
        <x:v>5.5511151231257827E-17</x:v>
      </x:c>
      <x:c r="K4" s="68">
        <x:v>240547390876.94891</x:v>
      </x:c>
      <x:c r="L4" s="69" t="s">
        <x:v>79</x:v>
      </x:c>
    </x:row>
    <x:row r="5">
      <x:c r="A5" s="70" t="s">
        <x:v>50</x:v>
      </x:c>
      <x:c r="B5" s="71" t="s">
        <x:v>80</x:v>
      </x:c>
      <x:c r="C5" s="71">
        <x:v>0</x:v>
      </x:c>
      <x:c r="D5" s="71" t="n">
        <x:f>'Tous détail Stocks'!K6</x:f>
        <x:v>-0.8210812334731701</x:v>
      </x:c>
      <x:c r="E5" s="71" t="n">
        <x:f>'Tous détail Stocks'!P4</x:f>
        <x:v>-0.8210812334731701</x:v>
      </x:c>
      <x:c r="F5" s="71" t="n">
        <x:f>'Tous détail Stocks'!L146</x:f>
        <x:v>0.4399557024125395</x:v>
      </x:c>
      <x:c r="G5" s="71" t="n">
        <x:f>'Tous détail Stocks'!L151</x:f>
        <x:v>0.007251931724558111</x:v>
      </x:c>
      <x:c r="H5" s="71" t="n">
        <x:f>'Tous détail Stocks'!L157</x:f>
        <x:v>0.000052590513737652384</x:v>
      </x:c>
      <x:c r="I5" s="71">
        <x:v>8.8817841970012523E-16</x:v>
      </x:c>
      <x:c r="J5" s="71">
        <x:v>4.4408920985006262E-16</x:v>
      </x:c>
      <x:c r="K5" s="71" t="n">
        <x:f>'Tous détail Stocks'!K101</x:f>
        <x:v>1077902355.5</x:v>
      </x:c>
      <x:c r="L5" s="72" t="s">
        <x:v>79</x:v>
      </x:c>
    </x:row>
    <x:row r="6">
      <x:c r="A6" s="70" t="s">
        <x:v>54</x:v>
      </x:c>
      <x:c r="B6" s="71" t="s">
        <x:v>23</x:v>
      </x:c>
      <x:c r="C6" s="71">
        <x:v>1.217265E-2</x:v>
      </x:c>
      <x:c r="D6" s="71" t="n">
        <x:f>'Tous détail Stocks'!S6</x:f>
        <x:v>-0.612044952965356</x:v>
      </x:c>
      <x:c r="E6" s="71" t="n">
        <x:f>'Tous détail Stocks'!X4</x:f>
        <x:v>-0.599872302965356</x:v>
      </x:c>
      <x:c r="F6" s="71" t="n">
        <x:f>'Tous détail Stocks'!T146</x:f>
        <x:v>0.5488817221873317</x:v>
      </x:c>
      <x:c r="G6" s="71" t="n">
        <x:f>'Tous détail Stocks'!T151</x:f>
        <x:v>0.02734466541932604</x:v>
      </x:c>
      <x:c r="H6" s="71" t="n">
        <x:f>'Tous détail Stocks'!T157</x:f>
        <x:v>0.0007477307268948854</x:v>
      </x:c>
      <x:c r="I6" s="71">
        <x:v>0</x:v>
      </x:c>
      <x:c r="J6" s="71">
        <x:v>2.2204460492503131E-16</x:v>
      </x:c>
      <x:c r="K6" s="71">
        <x:v>174778677</x:v>
      </x:c>
      <x:c r="L6" s="72" t="s">
        <x:v>79</x:v>
      </x:c>
    </x:row>
    <x:row r="7">
      <x:c r="A7" s="70" t="s">
        <x:v>58</x:v>
      </x:c>
      <x:c r="B7" s="71" t="s">
        <x:v>81</x:v>
      </x:c>
      <x:c r="C7" s="71">
        <x:v>3.1345315416999996E-2</x:v>
      </x:c>
      <x:c r="D7" s="71" t="n">
        <x:f>'Tous détail Stocks'!Z6</x:f>
        <x:v>-0.11088266907560482</x:v>
      </x:c>
      <x:c r="E7" s="71" t="n">
        <x:f>'Tous détail Stocks'!AE4</x:f>
        <x:v>-0.07953735365860481</x:v>
      </x:c>
      <x:c r="F7" s="71" t="n">
        <x:f>'Tous détail Stocks'!AA146</x:f>
        <x:v>0.9235435215948778</x:v>
      </x:c>
      <x:c r="G7" s="71" t="n">
        <x:f>'Tous détail Stocks'!AA151</x:f>
        <x:v>0.6205034452649824</x:v>
      </x:c>
      <x:c r="H7" s="71" t="n">
        <x:f>'Tous détail Stocks'!AA157</x:f>
        <x:v>0.38502452558571293</x:v>
      </x:c>
      <x:c r="I7" s="71">
        <x:v>2.7755575615628914E-17</x:v>
      </x:c>
      <x:c r="J7" s="71">
        <x:v>1.3877787807814457E-17</x:v>
      </x:c>
      <x:c r="K7" s="71">
        <x:v>147882917606</x:v>
      </x:c>
      <x:c r="L7" s="72" t="s">
        <x:v>79</x:v>
      </x:c>
    </x:row>
    <x:row r="8">
      <x:c r="A8" s="70" t="s">
        <x:v>61</x:v>
      </x:c>
      <x:c r="B8" s="71" t="s">
        <x:v>82</x:v>
      </x:c>
      <x:c r="C8" s="71">
        <x:v>3.0739999999999999E-3</x:v>
      </x:c>
      <x:c r="D8" s="71" t="n">
        <x:f>'Tous détail Stocks'!AG6</x:f>
        <x:v>-0.16756075047396934</x:v>
      </x:c>
      <x:c r="E8" s="71" t="n">
        <x:f>'Tous détail Stocks'!AL4</x:f>
        <x:v>-0.16448675047396935</x:v>
      </x:c>
      <x:c r="F8" s="71" t="n">
        <x:f>'Tous détail Stocks'!AH146</x:f>
        <x:v>0.8483289968270038</x:v>
      </x:c>
      <x:c r="G8" s="71" t="n">
        <x:f>'Tous détail Stocks'!AH151</x:f>
        <x:v>0.3727227240824461</x:v>
      </x:c>
      <x:c r="H8" s="71" t="n">
        <x:f>'Tous détail Stocks'!AH157</x:f>
        <x:v>0.13892222904743923</x:v>
      </x:c>
      <x:c r="I8" s="71">
        <x:v>3.4694469519536142E-17</x:v>
      </x:c>
      <x:c r="J8" s="71">
        <x:v>2.7755575615628914E-17</x:v>
      </x:c>
      <x:c r="K8" s="71">
        <x:v>30769084275.874001</x:v>
      </x:c>
      <x:c r="L8" s="72" t="s">
        <x:v>79</x:v>
      </x:c>
    </x:row>
    <x:row r="9">
      <x:c r="A9" s="73" t="s">
        <x:v>65</x:v>
      </x:c>
      <x:c r="B9" s="74" t="s">
        <x:v>83</x:v>
      </x:c>
      <x:c r="C9" s="74">
        <x:v>4.1908449299999978E-4</x:v>
      </x:c>
      <x:c r="D9" s="74" t="n">
        <x:f>'Tous détail Stocks'!AN6</x:f>
        <x:v>-0.014450373457126532</x:v>
      </x:c>
      <x:c r="E9" s="74" t="n">
        <x:f>'Tous détail Stocks'!AR4</x:f>
        <x:v>-0.014031288964126531</x:v>
      </x:c>
      <x:c r="F9" s="74" t="n">
        <x:f>'Tous détail Stocks'!AO146</x:f>
        <x:v>0.9860666907748635</x:v>
      </x:c>
      <x:c r="G9" s="74" t="n">
        <x:f>'Tous détail Stocks'!AO151</x:f>
        <x:v>0.9192586639867838</x:v>
      </x:c>
      <x:c r="H9" s="74" t="n">
        <x:f>'Tous détail Stocks'!AO157</x:f>
        <x:v>0.8450364913147667</x:v>
      </x:c>
      <x:c r="I9" s="74">
        <x:v>3.4694469519536142E-18</x:v>
      </x:c>
      <x:c r="J9" s="74">
        <x:v>6.9388939039072284E-18</x:v>
      </x:c>
      <x:c r="K9" s="74">
        <x:v>347205646832.96851</x:v>
      </x:c>
      <x:c r="L9" s="75" t="s">
        <x:v>79</x:v>
      </x:c>
    </x:row>
    <x:row r="12">
      <x:c r="A12" s="67" t="s">
        <x:v>84</x:v>
      </x:c>
      <x:c r="B12" s="68" t="s">
        <x:v>85</x:v>
      </x:c>
      <x:c r="C12" s="68" t="s">
        <x:v>86</x:v>
      </x:c>
      <x:c r="D12" s="68" t="s">
        <x:v>87</x:v>
      </x:c>
      <x:c r="E12" s="68" t="s">
        <x:v>88</x:v>
      </x:c>
      <x:c r="F12" s="69" t="s">
        <x:v>77</x:v>
      </x:c>
    </x:row>
    <x:row r="13" ht="16" customHeight="1">
      <x:c r="A13" s="70" t="s">
        <x:v>89</x:v>
      </x:c>
      <x:c r="B13" s="71">
        <x:v>1181986935772.2563</x:v>
      </x:c>
      <x:c r="C13" s="71" t="n">
        <x:f>'Ecoulement Ressources à Vue'!D6</x:f>
        <x:v>1181986935772.2563</x:v>
      </x:c>
      <x:c r="D13" s="71" t="n">
        <x:f>C13-B13</x:f>
        <x:v>0</x:v>
      </x:c>
      <x:c r="E13" s="71">
        <x:v>1E-3</x:v>
      </x:c>
      <x:c r="F13" s="72" t="s">
        <x:v>79</x:v>
      </x:c>
    </x:row>
    <x:row r="14" ht="16" customHeight="1">
      <x:c r="A14" s="70" t="s">
        <x:v>90</x:v>
      </x:c>
      <x:c r="B14" s="71">
        <x:v>1037039245886.9216</x:v>
      </x:c>
      <x:c r="C14" s="71" t="n">
        <x:f>'Ecoulement Ressources à Vue'!G6</x:f>
        <x:v>1037522636490.283</x:v>
      </x:c>
      <x:c r="D14" s="71" t="n">
        <x:f>C14-B14</x:f>
        <x:v>483390603.3613281</x:v>
      </x:c>
      <x:c r="E14" s="71">
        <x:v>1E-3</x:v>
      </x:c>
      <x:c r="F14" s="72" t="s">
        <x:v>79</x:v>
      </x:c>
    </x:row>
    <x:row r="15" ht="16" customHeight="1">
      <x:c r="A15" s="70" t="s">
        <x:v>91</x:v>
      </x:c>
      <x:c r="B15" s="71">
        <x:v>531253731312.33734</x:v>
      </x:c>
      <x:c r="C15" s="71" t="n">
        <x:f>'Ecoulement Ressources à Vue'!G17</x:f>
        <x:v>531222351701.7095</x:v>
      </x:c>
      <x:c r="D15" s="71" t="n">
        <x:f>C15-B15</x:f>
        <x:v>-31379610.627868652</x:v>
      </x:c>
      <x:c r="E15" s="71">
        <x:v>1E-3</x:v>
      </x:c>
      <x:c r="F15" s="72" t="s">
        <x:v>79</x:v>
      </x:c>
    </x:row>
    <x:row r="16" ht="16" customHeight="1">
      <x:c r="A16" s="70" t="s">
        <x:v>92</x:v>
      </x:c>
      <x:c r="B16" s="71">
        <x:v>644851497668.97107</x:v>
      </x:c>
      <x:c r="C16" s="71" t="n">
        <x:f>'Ecoulement Ressources à Vue'!L6</x:f>
        <x:v>644825539090.2054</x:v>
      </x:c>
      <x:c r="D16" s="71" t="n">
        <x:f>C16-B16</x:f>
        <x:v>-25958578.765625</x:v>
      </x:c>
      <x:c r="E16" s="71">
        <x:v>1E-3</x:v>
      </x:c>
      <x:c r="F16" s="72" t="s">
        <x:v>79</x:v>
      </x:c>
    </x:row>
    <x:row r="17" ht="16" customHeight="1">
      <x:c r="A17" s="73" t="s">
        <x:v>93</x:v>
      </x:c>
      <x:c r="B17" s="74">
        <x:v>6</x:v>
      </x:c>
      <x:c r="C17" s="74">
        <x:v>6</x:v>
      </x:c>
      <x:c r="D17" s="74">
        <x:v>0</x:v>
      </x:c>
      <x:c r="E17" s="74">
        <x:v>0</x:v>
      </x:c>
      <x:c r="F17" s="75" t="s">
        <x:v>79</x:v>
      </x:c>
    </x:row>
    <x:row r="19" ht="22.649999618530273" customHeight="1">
      <x:c r="A19" s="87" t="s">
        <x:v>94</x:v>
      </x:c>
      <x:c r="B19" s="87"/>
      <x:c r="C19" s="87"/>
      <x:c r="D19" s="87"/>
      <x:c r="E19" s="87"/>
      <x:c r="F19" s="87"/>
      <x:c r="G19" s="87"/>
      <x:c r="H19" s="87"/>
      <x:c r="I19" s="87"/>
      <x:c r="J19" s="87"/>
      <x:c r="K19" s="87"/>
      <x:c r="L19" s="87"/>
    </x:row>
  </x:sheetData>
  <x:mergeCells>
    <x:mergeCell ref="A1:L1"/>
    <x:mergeCell ref="A19:L19"/>
  </x:mergeCells>
  <x:pageMargins left="0.7" right="0.7" top="0.75" bottom="0.75" header="0.3" footer="0.3"/>
</x:worksheet>
</file>